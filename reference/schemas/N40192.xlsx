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8845da87ab4e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dd7ed79ac884b4b"/>
    <x:sheet xmlns:r="http://schemas.openxmlformats.org/officeDocument/2006/relationships" name="01 Contract Summary" sheetId="2" r:id="Re540b828576b4f9d"/>
    <x:sheet xmlns:r="http://schemas.openxmlformats.org/officeDocument/2006/relationships" name="02 Organizations" sheetId="3" r:id="R1bbc7966ae1a4610"/>
    <x:sheet xmlns:r="http://schemas.openxmlformats.org/officeDocument/2006/relationships" name="03 Addresses" sheetId="4" r:id="R464e54c2a1b6417f"/>
    <x:sheet xmlns:r="http://schemas.openxmlformats.org/officeDocument/2006/relationships" name="04 Contacts" sheetId="5" r:id="R449a6cb9d09a415f"/>
    <x:sheet xmlns:r="http://schemas.openxmlformats.org/officeDocument/2006/relationships" name="05 CLINs" sheetId="6" r:id="R42b2697c4df34877"/>
    <x:sheet xmlns:r="http://schemas.openxmlformats.org/officeDocument/2006/relationships" name="06 Funding Accounting" sheetId="7" r:id="R3513d1d61d2d4323"/>
    <x:sheet xmlns:r="http://schemas.openxmlformats.org/officeDocument/2006/relationships" name="07 Performance Delivery" sheetId="8" r:id="R03053a66910e455a"/>
    <x:sheet xmlns:r="http://schemas.openxmlformats.org/officeDocument/2006/relationships" name="08 Clauses" sheetId="9" r:id="R0f31b5db637a44f8"/>
    <x:sheet xmlns:r="http://schemas.openxmlformats.org/officeDocument/2006/relationships" name="09 FAR References" sheetId="10" r:id="R4f9af827a3784277"/>
    <x:sheet xmlns:r="http://schemas.openxmlformats.org/officeDocument/2006/relationships" name="10 Documents" sheetId="11" r:id="R916cd15af9db4676"/>
    <x:sheet xmlns:r="http://schemas.openxmlformats.org/officeDocument/2006/relationships" name="11 Evidence" sheetId="12" r:id="R9b1ceca795894742"/>
    <x:sheet xmlns:r="http://schemas.openxmlformats.org/officeDocument/2006/relationships" name="12 Conflicts Review" sheetId="13" r:id="R3629b73da15a4d16"/>
    <x:sheet xmlns:r="http://schemas.openxmlformats.org/officeDocument/2006/relationships" name="13 QA Review" sheetId="14" r:id="R3611220906a44585"/>
    <x:sheet xmlns:r="http://schemas.openxmlformats.org/officeDocument/2006/relationships" name="00 Executive Dashboard" sheetId="15" r:id="R1a808f4903054cdb"/>
    <x:sheet xmlns:r="http://schemas.openxmlformats.org/officeDocument/2006/relationships" name="14 Data Dictionary" sheetId="16" r:id="R73a5e909fdf44ab3"/>
    <x:sheet xmlns:r="http://schemas.openxmlformats.org/officeDocument/2006/relationships" name="15 Status Dictionary" sheetId="17" r:id="R6b68fc0e4b8445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11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b/>
      <x:sz val="16"/>
      <x:color rgb="FFFFFFFF"/>
      <x:name val="Carlito"/>
    </x:font>
    <x:font>
      <x:i/>
      <x:sz val="10"/>
      <x:color rgb="FF44546A"/>
      <x:name val="Carlito"/>
    </x:font>
    <x:font>
      <x:b/>
      <x:sz val="12"/>
      <x:color rgb="FF17365D"/>
      <x:name val="Carlito"/>
    </x:font>
    <x:font>
      <x:b/>
      <x:sz val="11"/>
      <x:color rgb="FF44546A"/>
      <x:name val="Carlito"/>
    </x:font>
    <x:font>
      <x:b/>
      <x:sz val="11"/>
      <x:name val="Carlito"/>
    </x:font>
    <x:font>
      <x:b/>
      <x:sz val="10"/>
      <x:color rgb="FF17365D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B"/>
      </x:patternFill>
    </x:fill>
    <x:fill>
      <x:patternFill patternType="solid">
        <x:fgColor rgb="FFFFFFFF"/>
      </x:patternFill>
    </x:fill>
  </x:fills>
  <x:borders count="17">
    <x:border/>
    <x:border/>
    <x:border>
      <x:left style="thin">
        <x:color rgb="FFD0D7DE"/>
      </x:left>
      <x:top style="thin">
        <x:color rgb="FFD0D7DE"/>
      </x:top>
    </x:border>
    <x:border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top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/>
    </x:xf>
    <x:xf numFmtId="0" fontId="2" fillId="7" borderId="0" xfId="0" applyNumberFormat="1" applyFont="1" applyFill="1" applyBorder="1" applyAlignment="1">
      <x:alignment wrapText="1"/>
    </x:xf>
    <x:xf numFmtId="0" fontId="2" fillId="7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7" borderId="5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2" fillId="7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10" xfId="0" applyNumberFormat="1" applyFont="1" applyFill="1" applyBorder="1"/>
    <x:xf numFmtId="0" fontId="7" fillId="9" borderId="11" xfId="0" applyNumberFormat="1" applyFont="1" applyFill="1" applyBorder="1"/>
    <x:xf numFmtId="0" fontId="7" fillId="9" borderId="12" xfId="0" applyNumberFormat="1" applyFont="1" applyFill="1" applyBorder="1"/>
    <x:xf numFmtId="0" fontId="7" fillId="9" borderId="13" xfId="0" applyNumberFormat="1" applyFont="1" applyFill="1" applyBorder="1"/>
    <x:xf numFmtId="0" fontId="7" fillId="9" borderId="14" xfId="0" applyNumberFormat="1" applyFont="1" applyFill="1" applyBorder="1"/>
    <x:xf numFmtId="0" fontId="7" fillId="9" borderId="15" xfId="0" applyNumberFormat="1" applyFont="1" applyFill="1" applyBorder="1"/>
    <x:xf numFmtId="0" fontId="7" fillId="9" borderId="10" xfId="0" applyNumberFormat="1" applyFont="1" applyFill="1" applyBorder="1" applyAlignment="1">
      <x:alignment horizontal="center"/>
    </x:xf>
    <x:xf numFmtId="0" fontId="7" fillId="9" borderId="11" xfId="0" applyNumberFormat="1" applyFont="1" applyFill="1" applyBorder="1" applyAlignment="1">
      <x:alignment horizontal="center"/>
    </x:xf>
    <x:xf numFmtId="0" fontId="7" fillId="9" borderId="12" xfId="0" applyNumberFormat="1" applyFont="1" applyFill="1" applyBorder="1" applyAlignment="1">
      <x:alignment horizontal="center"/>
    </x:xf>
    <x:xf numFmtId="0" fontId="7" fillId="9" borderId="13" xfId="0" applyNumberFormat="1" applyFont="1" applyFill="1" applyBorder="1" applyAlignment="1">
      <x:alignment horizontal="center"/>
    </x:xf>
    <x:xf numFmtId="0" fontId="7" fillId="9" borderId="14" xfId="0" applyNumberFormat="1" applyFont="1" applyFill="1" applyBorder="1" applyAlignment="1">
      <x:alignment horizontal="center"/>
    </x:xf>
    <x:xf numFmtId="0" fontId="7" fillId="9" borderId="15" xfId="0" applyNumberFormat="1" applyFont="1" applyFill="1" applyBorder="1" applyAlignment="1">
      <x:alignment horizontal="center"/>
    </x:xf>
    <x:xf numFmtId="0" fontId="7" fillId="9" borderId="10" xfId="0" applyNumberFormat="1" applyFont="1" applyFill="1" applyBorder="1" applyAlignment="1">
      <x:alignment horizontal="center" vertical="center"/>
    </x:xf>
    <x:xf numFmtId="0" fontId="7" fillId="9" borderId="11" xfId="0" applyNumberFormat="1" applyFont="1" applyFill="1" applyBorder="1" applyAlignment="1">
      <x:alignment horizontal="center" vertical="center"/>
    </x:xf>
    <x:xf numFmtId="0" fontId="7" fillId="9" borderId="12" xfId="0" applyNumberFormat="1" applyFont="1" applyFill="1" applyBorder="1" applyAlignment="1">
      <x:alignment horizontal="center" vertical="center"/>
    </x:xf>
    <x:xf numFmtId="0" fontId="7" fillId="9" borderId="13" xfId="0" applyNumberFormat="1" applyFont="1" applyFill="1" applyBorder="1" applyAlignment="1">
      <x:alignment horizontal="center" vertical="center"/>
    </x:xf>
    <x:xf numFmtId="0" fontId="7" fillId="9" borderId="14" xfId="0" applyNumberFormat="1" applyFont="1" applyFill="1" applyBorder="1" applyAlignment="1">
      <x:alignment horizontal="center" vertical="center"/>
    </x:xf>
    <x:xf numFmtId="0" fontId="7" fillId="9" borderId="15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/>
    <x:xf numFmtId="0" fontId="3" fillId="6" borderId="0" xfId="0" applyNumberFormat="1" applyFont="1" applyFill="1" applyBorder="1"/>
    <x:xf numFmtId="0" fontId="0" fillId="0" xfId="0" applyNumberFormat="1" applyFont="1" applyFill="1" applyBorder="0"/>
    <x:xf numFmtId="0" fontId="0" fillId="0" borderId="16" xfId="0" applyNumberFormat="1" applyFont="1" applyFill="1" applyBorder="1"/>
    <x:xf numFmtId="0" fontId="8" fillId="0" xfId="0" applyNumberFormat="1" applyFont="1" applyFill="1" applyBorder="0"/>
    <x:xf numFmtId="0" fontId="8" fillId="0" borderId="16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wrapText="1"/>
    </x:xf>
    <x:xf numFmtId="0" fontId="7" fillId="9" borderId="10" xfId="0" applyNumberFormat="1" applyFont="1" applyFill="1" applyBorder="1" applyAlignment="1">
      <x:alignment horizontal="center" vertical="center" wrapText="1"/>
    </x:xf>
    <x:xf numFmtId="0" fontId="7" fillId="9" borderId="11" xfId="0" applyNumberFormat="1" applyFont="1" applyFill="1" applyBorder="1" applyAlignment="1">
      <x:alignment horizontal="center" vertical="center" wrapText="1"/>
    </x:xf>
    <x:xf numFmtId="0" fontId="7" fillId="9" borderId="12" xfId="0" applyNumberFormat="1" applyFont="1" applyFill="1" applyBorder="1" applyAlignment="1">
      <x:alignment horizontal="center" vertical="center" wrapText="1"/>
    </x:xf>
    <x:xf numFmtId="0" fontId="7" fillId="9" borderId="13" xfId="0" applyNumberFormat="1" applyFont="1" applyFill="1" applyBorder="1" applyAlignment="1">
      <x:alignment horizontal="center" vertical="center" wrapText="1"/>
    </x:xf>
    <x:xf numFmtId="0" fontId="7" fillId="9" borderId="14" xfId="0" applyNumberFormat="1" applyFont="1" applyFill="1" applyBorder="1" applyAlignment="1">
      <x:alignment horizontal="center" vertical="center" wrapText="1"/>
    </x:xf>
    <x:xf numFmtId="0" fontId="7" fillId="9" borderId="15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wrapText="1"/>
    </x:xf>
    <x:xf numFmtId="0" fontId="8" fillId="0" xfId="0" applyNumberFormat="1" applyFont="1" applyFill="1" applyBorder="0" applyAlignment="1">
      <x:alignment wrapText="1"/>
    </x:xf>
    <x:xf numFmtId="0" fontId="8" fillId="0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2"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44546A"/>
      </x:font>
      <x:fill>
        <x:patternFill patternType="solid">
          <x:bgColor rgb="FFF2F2F2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fba12b471d40cc" /><Relationship Type="http://schemas.openxmlformats.org/officeDocument/2006/relationships/theme" Target="/xl/theme/theme1.xml" Id="R5b8955baadfa4474" /><Relationship Type="http://schemas.openxmlformats.org/officeDocument/2006/relationships/sharedStrings" Target="/xl/sharedStrings.xml" Id="R21b68c36398d4214" /><Relationship Type="http://schemas.openxmlformats.org/officeDocument/2006/relationships/worksheet" Target="/xl/worksheets/sheet1.xml" Id="R0dd7ed79ac884b4b" /><Relationship Type="http://schemas.openxmlformats.org/officeDocument/2006/relationships/worksheet" Target="/xl/worksheets/sheet2.xml" Id="Re540b828576b4f9d" /><Relationship Type="http://schemas.openxmlformats.org/officeDocument/2006/relationships/worksheet" Target="/xl/worksheets/sheet3.xml" Id="R1bbc7966ae1a4610" /><Relationship Type="http://schemas.openxmlformats.org/officeDocument/2006/relationships/worksheet" Target="/xl/worksheets/sheet4.xml" Id="R464e54c2a1b6417f" /><Relationship Type="http://schemas.openxmlformats.org/officeDocument/2006/relationships/worksheet" Target="/xl/worksheets/sheet5.xml" Id="R449a6cb9d09a415f" /><Relationship Type="http://schemas.openxmlformats.org/officeDocument/2006/relationships/worksheet" Target="/xl/worksheets/sheet6.xml" Id="R42b2697c4df34877" /><Relationship Type="http://schemas.openxmlformats.org/officeDocument/2006/relationships/worksheet" Target="/xl/worksheets/sheet7.xml" Id="R3513d1d61d2d4323" /><Relationship Type="http://schemas.openxmlformats.org/officeDocument/2006/relationships/worksheet" Target="/xl/worksheets/sheet8.xml" Id="R03053a66910e455a" /><Relationship Type="http://schemas.openxmlformats.org/officeDocument/2006/relationships/worksheet" Target="/xl/worksheets/sheet9.xml" Id="R0f31b5db637a44f8" /><Relationship Type="http://schemas.openxmlformats.org/officeDocument/2006/relationships/worksheet" Target="/xl/worksheets/sheet10.xml" Id="R4f9af827a3784277" /><Relationship Type="http://schemas.openxmlformats.org/officeDocument/2006/relationships/worksheet" Target="/xl/worksheets/sheet11.xml" Id="R916cd15af9db4676" /><Relationship Type="http://schemas.openxmlformats.org/officeDocument/2006/relationships/worksheet" Target="/xl/worksheets/sheet12.xml" Id="R9b1ceca795894742" /><Relationship Type="http://schemas.openxmlformats.org/officeDocument/2006/relationships/worksheet" Target="/xl/worksheets/sheet13.xml" Id="R3629b73da15a4d16" /><Relationship Type="http://schemas.openxmlformats.org/officeDocument/2006/relationships/worksheet" Target="/xl/worksheets/sheet14.xml" Id="R3611220906a44585" /><Relationship Type="http://schemas.openxmlformats.org/officeDocument/2006/relationships/worksheet" Target="/xl/worksheets/sheet15.xml" Id="R1a808f4903054cdb" /><Relationship Type="http://schemas.openxmlformats.org/officeDocument/2006/relationships/worksheet" Target="/xl/worksheets/sheet16.xml" Id="R73a5e909fdf44ab3" /><Relationship Type="http://schemas.openxmlformats.org/officeDocument/2006/relationships/worksheet" Target="/xl/worksheets/sheet17.xml" Id="R6b68fc0e4b8445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8" hidden="0" customWidth="1"/>
    <x:col min="3" max="3" width="12" hidden="0" customWidth="1"/>
  </x:cols>
  <x:sheetData>
    <x:row r="1" ht="26" customHeight="1">
      <x:c r="A1" s="34" t="str">
        <x:v>Canonical Contract Extraction - N40192-23-D-2803</x:v>
      </x:c>
      <x:c r="B1" s="34"/>
      <x:c r="C1" s="34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3">
      <x:c r="A3" s="36" t="str">
        <x:v>Purpose</x:v>
      </x:c>
      <x:c r="B3" s="37" t="str">
        <x:v>Professional canonical extraction from the uploaded Adobe PDF Portfolio. Raw evidence is preserved separately from normalized business data.</x:v>
      </x:c>
      <x:c r="C3" s="38" t="str"/>
    </x:row>
    <x:row r="4">
      <x:c r="A4" s="39" t="str">
        <x:v>Architecture</x:v>
      </x:c>
      <x:c r="B4" s="40" t="str">
        <x:v>Source PDF -&gt; Raw Evidence -&gt; Canonical Contract Model -&gt; Oracle Transformation (future).</x:v>
      </x:c>
      <x:c r="C4" s="41" t="str"/>
    </x:row>
    <x:row r="5">
      <x:c r="A5" s="39" t="str">
        <x:v>Source Portfolio</x:v>
      </x:c>
      <x:c r="B5" s="40" t="str">
        <x:v>Contract.pdf</x:v>
      </x:c>
      <x:c r="C5" s="41" t="str"/>
    </x:row>
    <x:row r="6">
      <x:c r="A6" s="39" t="str">
        <x:v>Embedded Documents</x:v>
      </x:c>
      <x:c r="B6" s="40" t="str">
        <x:v>3</x:v>
      </x:c>
      <x:c r="C6" s="41" t="str"/>
    </x:row>
    <x:row r="7">
      <x:c r="A7" s="39" t="str">
        <x:v>Contract ID</x:v>
      </x:c>
      <x:c r="B7" s="40" t="str">
        <x:v>CTR-N40192-23-D-2803</x:v>
      </x:c>
      <x:c r="C7" s="41" t="str"/>
    </x:row>
    <x:row r="8">
      <x:c r="A8" s="39" t="str">
        <x:v>Key Rule</x:v>
      </x:c>
      <x:c r="B8" s="40" t="str">
        <x:v>Compound fields such as Issued By, Offeror, Payment Office and addresses are represented as structured entities/subfields.</x:v>
      </x:c>
      <x:c r="C8" s="41" t="str"/>
    </x:row>
    <x:row r="9">
      <x:c r="A9" s="39" t="str">
        <x:v>Blank Rule</x:v>
      </x:c>
      <x:c r="B9" s="40" t="str">
        <x:v>A visible but empty source field is SOURCE_BLANK, not NOT_FOUND.</x:v>
      </x:c>
      <x:c r="C9" s="41" t="str"/>
    </x:row>
    <x:row r="10">
      <x:c r="A10" s="39" t="str">
        <x:v>Reference Rule</x:v>
      </x:c>
      <x:c r="B10" s="40" t="str">
        <x:v>'See Item 7' is preserved as raw evidence and resolved to the Issued By organization through a relationship.</x:v>
      </x:c>
      <x:c r="C10" s="41" t="str"/>
    </x:row>
    <x:row r="11">
      <x:c r="A11" s="39" t="str">
        <x:v>Conflict Rule</x:v>
      </x:c>
      <x:c r="B11" s="40" t="str">
        <x:v>Conflicting source values are preserved in Conflicts &amp; Review; they are not silently reconciled.</x:v>
      </x:c>
      <x:c r="C11" s="41" t="str"/>
    </x:row>
    <x:row r="12">
      <x:c r="A12" s="39" t="str">
        <x:v>Instruction Rule</x:v>
      </x:c>
      <x:c r="B12" s="40" t="str">
        <x:v>Form boilerplate/instructions such as CAUTION are not promoted into contract master data.</x:v>
      </x:c>
      <x:c r="C12" s="41" t="str"/>
    </x:row>
    <x:row r="13">
      <x:c r="A13" s="42" t="str">
        <x:v>Oracle Rule</x:v>
      </x:c>
      <x:c r="B13" s="43" t="str">
        <x:v>This workbook is canonical source data. Oracle-specific values should be produced by a separate mapping/transformation layer.</x:v>
      </x:c>
      <x:c r="C13" s="44" t="str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8" hidden="0" customWidth="1"/>
    <x:col min="5" max="5" width="20" hidden="0" customWidth="1"/>
    <x:col min="6" max="6" width="44" hidden="0" customWidth="1"/>
    <x:col min="7" max="7" width="34" hidden="0" customWidth="1"/>
    <x:col min="8" max="8" width="16" hidden="0" customWidth="1"/>
    <x:col min="9" max="9" width="15" hidden="0" customWidth="1"/>
    <x:col min="10" max="10" width="20" hidden="0" customWidth="1"/>
    <x:col min="11" max="11" width="10" hidden="0" customWidth="1"/>
    <x:col min="12" max="12" width="12" hidden="0" customWidth="1"/>
    <x:col min="13" max="13" width="34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2" hidden="0" customWidth="1"/>
    <x:col min="20" max="20" width="18" hidden="0" customWidth="1"/>
    <x:col min="21" max="21" width="38" hidden="0" customWidth="1"/>
    <x:col min="22" max="22" width="36" hidden="0" customWidth="1"/>
    <x:col min="23" max="23" width="13" hidden="0" customWidth="1"/>
    <x:col min="24" max="24" width="38" hidden="0" customWidth="1"/>
  </x:cols>
  <x:sheetData>
    <x:row r="1" ht="26" customHeight="1">
      <x:c r="A1" s="27" t="str">
        <x:v>01 Contract Summary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3" ht="30" customHeight="1">
      <x:c r="A3" s="32" t="str">
        <x:v>Contract Record ID</x:v>
      </x:c>
      <x:c r="B3" s="32" t="str">
        <x:v>Contract Number</x:v>
      </x:c>
      <x:c r="C3" s="32" t="str">
        <x:v>Solicitation Number</x:v>
      </x:c>
      <x:c r="D3" s="32" t="str">
        <x:v>Solicitation Type</x:v>
      </x:c>
      <x:c r="E3" s="32" t="str">
        <x:v>Solicitation Method</x:v>
      </x:c>
      <x:c r="F3" s="32" t="str">
        <x:v>Contract / Program</x:v>
      </x:c>
      <x:c r="G3" s="32" t="str">
        <x:v>Contract Type</x:v>
      </x:c>
      <x:c r="H3" s="32" t="str">
        <x:v>Set-Aside</x:v>
      </x:c>
      <x:c r="I3" s="32" t="str">
        <x:v>Award Date</x:v>
      </x:c>
      <x:c r="J3" s="32" t="str">
        <x:v>Award Amount / Ceiling</x:v>
      </x:c>
      <x:c r="K3" s="32" t="str">
        <x:v>Currency</x:v>
      </x:c>
      <x:c r="L3" s="32" t="str">
        <x:v>NAICS</x:v>
      </x:c>
      <x:c r="M3" s="32" t="str">
        <x:v>NAICS Description</x:v>
      </x:c>
      <x:c r="N3" s="32" t="str">
        <x:v>Size Standard</x:v>
      </x:c>
      <x:c r="O3" s="32" t="str">
        <x:v>Task Order Min</x:v>
      </x:c>
      <x:c r="P3" s="32" t="str">
        <x:v>Task Order Max</x:v>
      </x:c>
      <x:c r="Q3" s="32" t="str">
        <x:v>Minimum Guarantee</x:v>
      </x:c>
      <x:c r="R3" s="32" t="str">
        <x:v>Base Period Months</x:v>
      </x:c>
      <x:c r="S3" s="32" t="str">
        <x:v>Option Periods</x:v>
      </x:c>
      <x:c r="T3" s="32" t="str">
        <x:v>Maximum Duration Months</x:v>
      </x:c>
      <x:c r="U3" s="32" t="str">
        <x:v>Primary Contractor</x:v>
      </x:c>
      <x:c r="V3" s="32" t="str">
        <x:v>Issuing Organization</x:v>
      </x:c>
      <x:c r="W3" s="32" t="str">
        <x:v>Status</x:v>
      </x:c>
      <x:c r="X3" s="32" t="str">
        <x:v>Source Evidence IDs</x:v>
      </x:c>
      <x:c r="Y3" s="33"/>
      <x:c r="Z3" s="33"/>
    </x:row>
    <x:row r="4">
      <x:c r="A4" s="11" t="str">
        <x:v>CTR-N40192-23-D-2803</x:v>
      </x:c>
      <x:c r="B4" s="11" t="str">
        <x:v>N40192-23-D-2803</x:v>
      </x:c>
      <x:c r="C4" s="11" t="str">
        <x:v>N40192-21-R-2800</x:v>
      </x:c>
      <x:c r="D4" s="11" t="str">
        <x:v>Negotiated (RFP)</x:v>
      </x:c>
      <x:c r="E4" s="11" t="str">
        <x:v>Request for Proposal</x:v>
      </x:c>
      <x:c r="F4" s="11" t="str">
        <x:v>Small Business Design-Build Multiple Award Construction Contract (SB-DBMACC)</x:v>
      </x:c>
      <x:c r="G4" s="11" t="str">
        <x:v>IDIQ / Design-Build Multiple Award Construction Contract</x:v>
      </x:c>
      <x:c r="H4" s="11" t="str">
        <x:v>Small Business</x:v>
      </x:c>
      <x:c r="I4" s="11" t="str">
        <x:v>2023-09-29</x:v>
      </x:c>
      <x:c r="J4" s="22" t="n">
        <x:v>600000000</x:v>
      </x:c>
      <x:c r="K4" s="11" t="str">
        <x:v>USD</x:v>
      </x:c>
      <x:c r="L4" s="11" t="str">
        <x:v>236220</x:v>
      </x:c>
      <x:c r="M4" s="11" t="str">
        <x:v>Commercial and Institutional Building Construction</x:v>
      </x:c>
      <x:c r="N4" s="11" t="str">
        <x:v>$45 million</x:v>
      </x:c>
      <x:c r="O4" s="22" t="n">
        <x:v>1000000</x:v>
      </x:c>
      <x:c r="P4" s="22" t="n">
        <x:v>20000000</x:v>
      </x:c>
      <x:c r="Q4" s="22" t="n">
        <x:v>25000</x:v>
      </x:c>
      <x:c r="R4" s="11" t="n">
        <x:v>60</x:v>
      </x:c>
      <x:c r="S4" s="11" t="n">
        <x:v>3</x:v>
      </x:c>
      <x:c r="T4" s="11" t="n">
        <x:v>96</x:v>
      </x:c>
      <x:c r="U4" s="11" t="str">
        <x:v>Chugach Consolidated Solutions, LLC</x:v>
      </x:c>
      <x:c r="V4" s="11" t="str">
        <x:v>Commanding Officer - NAVFAC Marianas</x:v>
      </x:c>
      <x:c r="W4" s="11" t="str">
        <x:v>Awarded</x:v>
      </x:c>
      <x:c r="X4" s="11" t="str">
        <x:v>EVD-001; EVD-002; EVD-003; EVD-004; EVD-005; EVD-006</x:v>
      </x:c>
    </x:row>
  </x:sheetData>
  <x:mergeCells>
    <x:mergeCell ref="A1:X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22" hidden="0" customWidth="1"/>
    <x:col min="4" max="4" width="38" hidden="0" customWidth="1"/>
    <x:col min="5" max="5" width="14" hidden="0" customWidth="1"/>
    <x:col min="6" max="6" width="17" hidden="0" customWidth="1"/>
    <x:col min="7" max="7" width="20" hidden="0" customWidth="1"/>
    <x:col min="8" max="8" width="17" hidden="0" customWidth="1"/>
    <x:col min="9" max="9" width="17" hidden="0" customWidth="1"/>
    <x:col min="10" max="10" width="38" hidden="0" customWidth="1"/>
    <x:col min="11" max="11" width="27" hidden="0" customWidth="1"/>
    <x:col min="12" max="12" width="15" hidden="0" customWidth="1"/>
  </x:cols>
  <x:sheetData>
    <x:row r="1" ht="26" customHeight="1">
      <x:c r="A1" s="27" t="str">
        <x:v>02 Organizations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3" ht="30" customHeight="1">
      <x:c r="A3" s="32" t="str">
        <x:v>Organization ID</x:v>
      </x:c>
      <x:c r="B3" s="32" t="str">
        <x:v>Contract Record ID</x:v>
      </x:c>
      <x:c r="C3" s="32" t="str">
        <x:v>Role</x:v>
      </x:c>
      <x:c r="D3" s="32" t="str">
        <x:v>Organization Name</x:v>
      </x:c>
      <x:c r="E3" s="32" t="str">
        <x:v>Code</x:v>
      </x:c>
      <x:c r="F3" s="32" t="str">
        <x:v>Facility/CAGE Code</x:v>
      </x:c>
      <x:c r="G3" s="32" t="str">
        <x:v>UEI</x:v>
      </x:c>
      <x:c r="H3" s="32" t="str">
        <x:v>DUNS</x:v>
      </x:c>
      <x:c r="I3" s="32" t="str">
        <x:v>TIN</x:v>
      </x:c>
      <x:c r="J3" s="32" t="str">
        <x:v>Raw Source Value</x:v>
      </x:c>
      <x:c r="K3" s="32" t="str">
        <x:v>Resolved From</x:v>
      </x:c>
      <x:c r="L3" s="32" t="str">
        <x:v>Evidence ID</x:v>
      </x:c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11" t="str">
        <x:v>ORG-001</x:v>
      </x:c>
      <x:c r="B4" s="11" t="str">
        <x:v>CTR-N40192-23-D-2803</x:v>
      </x:c>
      <x:c r="C4" s="11" t="str">
        <x:v>Issued By</x:v>
      </x:c>
      <x:c r="D4" s="11" t="str">
        <x:v>Commanding Officer - NAVFAC Marianas</x:v>
      </x:c>
      <x:c r="E4" s="11" t="str">
        <x:v>N40192</x:v>
      </x:c>
      <x:c r="F4" s="11" t="str"/>
      <x:c r="G4" s="11" t="str"/>
      <x:c r="H4" s="11" t="str"/>
      <x:c r="I4" s="11" t="str"/>
      <x:c r="J4" s="11" t="str">
        <x:v>COMMANDING OFFICER - NAVFAC MARIANAS</x:v>
      </x:c>
      <x:c r="K4" s="11" t="str">
        <x:v>SF1442 Item 7</x:v>
      </x:c>
      <x:c r="L4" s="11" t="str">
        <x:v>EVD-007</x:v>
      </x:c>
    </x:row>
    <x:row r="5">
      <x:c r="A5" s="11" t="str">
        <x:v>ORG-001</x:v>
      </x:c>
      <x:c r="B5" s="11" t="str">
        <x:v>CTR-N40192-23-D-2803</x:v>
      </x:c>
      <x:c r="C5" s="11" t="str">
        <x:v>Address Offer To</x:v>
      </x:c>
      <x:c r="D5" s="11" t="str">
        <x:v>Commanding Officer - NAVFAC Marianas</x:v>
      </x:c>
      <x:c r="E5" s="11" t="str">
        <x:v>N40192</x:v>
      </x:c>
      <x:c r="F5" s="11" t="str"/>
      <x:c r="G5" s="11" t="str"/>
      <x:c r="H5" s="11" t="str"/>
      <x:c r="I5" s="11" t="str"/>
      <x:c r="J5" s="11" t="str">
        <x:v>See Item 7</x:v>
      </x:c>
      <x:c r="K5" s="11" t="str">
        <x:v>Resolved to SF1442 Item 7</x:v>
      </x:c>
      <x:c r="L5" s="11" t="str">
        <x:v>EVD-008</x:v>
      </x:c>
    </x:row>
    <x:row r="6">
      <x:c r="A6" s="11" t="str">
        <x:v>ORG-001</x:v>
      </x:c>
      <x:c r="B6" s="11" t="str">
        <x:v>CTR-N40192-23-D-2803</x:v>
      </x:c>
      <x:c r="C6" s="11" t="str">
        <x:v>Administered By</x:v>
      </x:c>
      <x:c r="D6" s="11" t="str">
        <x:v>Commanding Officer - NAVFAC Marianas</x:v>
      </x:c>
      <x:c r="E6" s="11" t="str">
        <x:v>N40192</x:v>
      </x:c>
      <x:c r="F6" s="11" t="str"/>
      <x:c r="G6" s="11" t="str"/>
      <x:c r="H6" s="11" t="str"/>
      <x:c r="I6" s="11" t="str"/>
      <x:c r="J6" s="11" t="str">
        <x:v>See Item 7</x:v>
      </x:c>
      <x:c r="K6" s="11" t="str">
        <x:v>Resolved to SF1442 Item 7</x:v>
      </x:c>
      <x:c r="L6" s="11" t="str">
        <x:v>EVD-009</x:v>
      </x:c>
    </x:row>
    <x:row r="7">
      <x:c r="A7" s="11" t="str">
        <x:v>ORG-002</x:v>
      </x:c>
      <x:c r="B7" s="11" t="str">
        <x:v>CTR-N40192-23-D-2803</x:v>
      </x:c>
      <x:c r="C7" s="11" t="str">
        <x:v>Contractor / Offeror</x:v>
      </x:c>
      <x:c r="D7" s="11" t="str">
        <x:v>Chugach Consolidated Solutions, LLC</x:v>
      </x:c>
      <x:c r="E7" s="11" t="str"/>
      <x:c r="F7" s="11" t="str">
        <x:v>6XZF0</x:v>
      </x:c>
      <x:c r="G7" s="11" t="str">
        <x:v>HME6LMM16LA1</x:v>
      </x:c>
      <x:c r="H7" s="11" t="str">
        <x:v>07-882-7038</x:v>
      </x:c>
      <x:c r="I7" s="11" t="str">
        <x:v>46-2726795</x:v>
      </x:c>
      <x:c r="J7" s="11" t="str">
        <x:v>CHUGACH CONSOLIDATED SOLUTIONS, LLC</x:v>
      </x:c>
      <x:c r="K7" s="11" t="str">
        <x:v>SF1442 Item 14 + award acknowledgement</x:v>
      </x:c>
      <x:c r="L7" s="11" t="str">
        <x:v>EVD-010</x:v>
      </x:c>
    </x:row>
    <x:row r="8">
      <x:c r="A8" s="11" t="str">
        <x:v>ORG-003</x:v>
      </x:c>
      <x:c r="B8" s="11" t="str">
        <x:v>CTR-N40192-23-D-2803</x:v>
      </x:c>
      <x:c r="C8" s="11" t="str">
        <x:v>Payment Office</x:v>
      </x:c>
      <x:c r="D8" s="11" t="str">
        <x:v>Defense Finance &amp; Accounting Service</x:v>
      </x:c>
      <x:c r="E8" s="11" t="str">
        <x:v>N68732</x:v>
      </x:c>
      <x:c r="F8" s="11" t="str"/>
      <x:c r="G8" s="11" t="str"/>
      <x:c r="H8" s="11" t="str"/>
      <x:c r="I8" s="11" t="str"/>
      <x:c r="J8" s="11" t="str">
        <x:v>DEFENSE FINANCE &amp; ACCOUNTING SERVICE / DFAS-CLEVELAND</x:v>
      </x:c>
      <x:c r="K8" s="11" t="str">
        <x:v>SF1442 Item 27</x:v>
      </x:c>
      <x:c r="L8" s="11" t="str">
        <x:v>EVD-011</x:v>
      </x:c>
    </x:row>
  </x:sheetData>
  <x:mergeCells>
    <x:mergeCell ref="A1:L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24" hidden="0" customWidth="1"/>
    <x:col min="4" max="4" width="30" hidden="0" customWidth="1"/>
    <x:col min="5" max="5" width="30" hidden="0" customWidth="1"/>
    <x:col min="6" max="6" width="18" hidden="0" customWidth="1"/>
    <x:col min="7" max="7" width="15" hidden="0" customWidth="1"/>
    <x:col min="8" max="8" width="16" hidden="0" customWidth="1"/>
    <x:col min="9" max="9" width="12" hidden="0" customWidth="1"/>
    <x:col min="10" max="10" width="48" hidden="0" customWidth="1"/>
    <x:col min="11" max="11" width="34" hidden="0" customWidth="1"/>
    <x:col min="12" max="12" width="11" hidden="0" customWidth="1"/>
    <x:col min="13" max="13" width="15" hidden="0" customWidth="1"/>
  </x:cols>
  <x:sheetData>
    <x:row r="1" ht="26" customHeight="1">
      <x:c r="A1" s="27" t="str">
        <x:v>03 Addresses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3" ht="30" customHeight="1">
      <x:c r="A3" s="32" t="str">
        <x:v>Address ID</x:v>
      </x:c>
      <x:c r="B3" s="32" t="str">
        <x:v>Organization ID</x:v>
      </x:c>
      <x:c r="C3" s="32" t="str">
        <x:v>Address Role</x:v>
      </x:c>
      <x:c r="D3" s="32" t="str">
        <x:v>Address Line 1</x:v>
      </x:c>
      <x:c r="E3" s="32" t="str">
        <x:v>Address Line 2</x:v>
      </x:c>
      <x:c r="F3" s="32" t="str">
        <x:v>City</x:v>
      </x:c>
      <x:c r="G3" s="32" t="str">
        <x:v>State/Region</x:v>
      </x:c>
      <x:c r="H3" s="32" t="str">
        <x:v>Postal Code</x:v>
      </x:c>
      <x:c r="I3" s="32" t="str">
        <x:v>Country</x:v>
      </x:c>
      <x:c r="J3" s="32" t="str">
        <x:v>Raw Address</x:v>
      </x:c>
      <x:c r="K3" s="32" t="str">
        <x:v>Source Document</x:v>
      </x:c>
      <x:c r="L3" s="32" t="str">
        <x:v>Source Page</x:v>
      </x:c>
      <x:c r="M3" s="32" t="str">
        <x:v>Evidence ID</x:v>
      </x:c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11" t="str">
        <x:v>ADDR-001</x:v>
      </x:c>
      <x:c r="B4" s="11" t="str">
        <x:v>ORG-001</x:v>
      </x:c>
      <x:c r="C4" s="11" t="str">
        <x:v>Issuing / Admin Office</x:v>
      </x:c>
      <x:c r="D4" s="11" t="str">
        <x:v>MAR CORE DC</x:v>
      </x:c>
      <x:c r="E4" s="11" t="str">
        <x:v>PSC 455, BOX 195</x:v>
      </x:c>
      <x:c r="F4" s="11" t="str">
        <x:v>FPO</x:v>
      </x:c>
      <x:c r="G4" s="11" t="str">
        <x:v>AP</x:v>
      </x:c>
      <x:c r="H4" s="11" t="str">
        <x:v>96540-2937</x:v>
      </x:c>
      <x:c r="I4" s="11" t="str">
        <x:v>USA</x:v>
      </x:c>
      <x:c r="J4" s="11" t="str">
        <x:v>MAR CORE DC; PSC 455, BOX 195; FPO AP 96540-2937</x:v>
      </x:c>
      <x:c r="K4" s="11" t="str">
        <x:v>SF1442 Award_N4019223D2803.pdf</x:v>
      </x:c>
      <x:c r="L4" s="11" t="n">
        <x:v>1</x:v>
      </x:c>
      <x:c r="M4" s="11" t="str">
        <x:v>EVD-012</x:v>
      </x:c>
    </x:row>
    <x:row r="5">
      <x:c r="A5" s="11" t="str">
        <x:v>ADDR-002</x:v>
      </x:c>
      <x:c r="B5" s="11" t="str">
        <x:v>ORG-002</x:v>
      </x:c>
      <x:c r="C5" s="11" t="str">
        <x:v>Offeror Address - SF1442</x:v>
      </x:c>
      <x:c r="D5" s="11" t="str">
        <x:v>3800 Center Point Dr Ste 1200</x:v>
      </x:c>
      <x:c r="E5" s="11" t="str"/>
      <x:c r="F5" s="11" t="str">
        <x:v>Anchorage</x:v>
      </x:c>
      <x:c r="G5" s="11" t="str">
        <x:v>AK</x:v>
      </x:c>
      <x:c r="H5" s="11" t="str">
        <x:v>99503-5825</x:v>
      </x:c>
      <x:c r="I5" s="11" t="str">
        <x:v>USA</x:v>
      </x:c>
      <x:c r="J5" s="11" t="str">
        <x:v>3800 CENTER POINT DR STE 1200; ANCHORAGE AK 99503-5825</x:v>
      </x:c>
      <x:c r="K5" s="11" t="str">
        <x:v>SF1442 Award_N4019223D2803.pdf</x:v>
      </x:c>
      <x:c r="L5" s="11" t="n">
        <x:v>2</x:v>
      </x:c>
      <x:c r="M5" s="11" t="str">
        <x:v>EVD-013</x:v>
      </x:c>
    </x:row>
    <x:row r="6">
      <x:c r="A6" s="11" t="str">
        <x:v>ADDR-003</x:v>
      </x:c>
      <x:c r="B6" s="11" t="str">
        <x:v>ORG-002</x:v>
      </x:c>
      <x:c r="C6" s="11" t="str">
        <x:v>Contractor Address - Award Acknowledgement</x:v>
      </x:c>
      <x:c r="D6" s="11" t="str">
        <x:v>3800 Centerpoint Drive Suite 800</x:v>
      </x:c>
      <x:c r="E6" s="11" t="str"/>
      <x:c r="F6" s="11" t="str">
        <x:v>Anchorage</x:v>
      </x:c>
      <x:c r="G6" s="11" t="str">
        <x:v>Alaska</x:v>
      </x:c>
      <x:c r="H6" s="11" t="str">
        <x:v>99503</x:v>
      </x:c>
      <x:c r="I6" s="11" t="str">
        <x:v>USA</x:v>
      </x:c>
      <x:c r="J6" s="11" t="str">
        <x:v>3800 Centerpoint Drive Suite 800 Anchorage, Alaska, 99503</x:v>
      </x:c>
      <x:c r="K6" s="11" t="str">
        <x:v>N40192-23-D-2803 CCSL SBMACC response to award annoucement.pdf</x:v>
      </x:c>
      <x:c r="L6" s="11" t="n">
        <x:v>1</x:v>
      </x:c>
      <x:c r="M6" s="11" t="str">
        <x:v>EVD-014</x:v>
      </x:c>
    </x:row>
    <x:row r="7">
      <x:c r="A7" s="11" t="str">
        <x:v>ADDR-004</x:v>
      </x:c>
      <x:c r="B7" s="11" t="str">
        <x:v>ORG-003</x:v>
      </x:c>
      <x:c r="C7" s="11" t="str">
        <x:v>Payment Office</x:v>
      </x:c>
      <x:c r="D7" s="11" t="str">
        <x:v>DFAS-Cleveland</x:v>
      </x:c>
      <x:c r="E7" s="11" t="str">
        <x:v>Norfolk Accounts Payable / PO Box 998022</x:v>
      </x:c>
      <x:c r="F7" s="11" t="str">
        <x:v>Cleveland</x:v>
      </x:c>
      <x:c r="G7" s="11" t="str">
        <x:v>OH</x:v>
      </x:c>
      <x:c r="H7" s="11" t="str">
        <x:v>44199-2123</x:v>
      </x:c>
      <x:c r="I7" s="11" t="str">
        <x:v>USA</x:v>
      </x:c>
      <x:c r="J7" s="11" t="str">
        <x:v>DEFENSE FINANCE &amp; ACCOUNTING SERVICE; DFAS-CLEVELAND; NORFOLK ACCOUNTS PAYABLE; PO BOX 998022; CLEVELAND OH 44199-2123</x:v>
      </x:c>
      <x:c r="K7" s="11" t="str">
        <x:v>SF1442 Award_N4019223D2803.pdf</x:v>
      </x:c>
      <x:c r="L7" s="11" t="n">
        <x:v>2</x:v>
      </x:c>
      <x:c r="M7" s="11" t="str">
        <x:v>EVD-015</x:v>
      </x:c>
    </x:row>
  </x:sheetData>
  <x:mergeCells>
    <x:mergeCell ref="A1:M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28" hidden="0" customWidth="1"/>
    <x:col min="4" max="4" width="24" hidden="0" customWidth="1"/>
    <x:col min="5" max="5" width="25" hidden="0" customWidth="1"/>
    <x:col min="6" max="6" width="29" hidden="0" customWidth="1"/>
    <x:col min="7" max="7" width="34" hidden="0" customWidth="1"/>
    <x:col min="8" max="8" width="48" hidden="0" customWidth="1"/>
    <x:col min="9" max="9" width="34" hidden="0" customWidth="1"/>
    <x:col min="10" max="10" width="11" hidden="0" customWidth="1"/>
    <x:col min="11" max="11" width="15" hidden="0" customWidth="1"/>
  </x:cols>
  <x:sheetData>
    <x:row r="1" ht="26" customHeight="1">
      <x:c r="A1" s="27" t="str">
        <x:v>04 Contacts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3" ht="30" customHeight="1">
      <x:c r="A3" s="32" t="str">
        <x:v>Contact ID</x:v>
      </x:c>
      <x:c r="B3" s="32" t="str">
        <x:v>Organization ID</x:v>
      </x:c>
      <x:c r="C3" s="32" t="str">
        <x:v>Role</x:v>
      </x:c>
      <x:c r="D3" s="32" t="str">
        <x:v>Name</x:v>
      </x:c>
      <x:c r="E3" s="32" t="str">
        <x:v>Title</x:v>
      </x:c>
      <x:c r="F3" s="32" t="str">
        <x:v>Phone</x:v>
      </x:c>
      <x:c r="G3" s="32" t="str">
        <x:v>Email</x:v>
      </x:c>
      <x:c r="H3" s="32" t="str">
        <x:v>Scope / Notes</x:v>
      </x:c>
      <x:c r="I3" s="32" t="str">
        <x:v>Source Document</x:v>
      </x:c>
      <x:c r="J3" s="32" t="str">
        <x:v>Source Page</x:v>
      </x:c>
      <x:c r="K3" s="32" t="str">
        <x:v>Evidence ID</x:v>
      </x:c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11" t="str">
        <x:v>CON-001</x:v>
      </x:c>
      <x:c r="B4" s="11" t="str">
        <x:v>ORG-001</x:v>
      </x:c>
      <x:c r="C4" s="11" t="str">
        <x:v>For Information / Contracting Officer</x:v>
      </x:c>
      <x:c r="D4" s="11" t="str">
        <x:v>Doris R. Castro</x:v>
      </x:c>
      <x:c r="E4" s="11" t="str">
        <x:v>Contracting Officer</x:v>
      </x:c>
      <x:c r="F4" s="11" t="str">
        <x:v>671-339-8465</x:v>
      </x:c>
      <x:c r="G4" s="11" t="str">
        <x:v>doris.r.castro.civ@us.navy.mil</x:v>
      </x:c>
      <x:c r="H4" s="11" t="str">
        <x:v>SF1442 information contact; award notice signer</x:v>
      </x:c>
      <x:c r="I4" s="11" t="str">
        <x:v>SF1442 Award_N4019223D2803.pdf</x:v>
      </x:c>
      <x:c r="J4" s="11" t="n">
        <x:v>1</x:v>
      </x:c>
      <x:c r="K4" s="11" t="str">
        <x:v>EVD-016</x:v>
      </x:c>
    </x:row>
    <x:row r="5">
      <x:c r="A5" s="11" t="str">
        <x:v>CON-002</x:v>
      </x:c>
      <x:c r="B5" s="11" t="str">
        <x:v>ORG-001</x:v>
      </x:c>
      <x:c r="C5" s="11" t="str">
        <x:v>Procuring Contract Specialist</x:v>
      </x:c>
      <x:c r="D5" s="11" t="str">
        <x:v>Janeen M. Bais</x:v>
      </x:c>
      <x:c r="E5" s="11" t="str">
        <x:v>Contract Specialist</x:v>
      </x:c>
      <x:c r="F5" s="11" t="str">
        <x:v>671-339-2572</x:v>
      </x:c>
      <x:c r="G5" s="11" t="str">
        <x:v>janeen.m.bais.civ@us.navy.mil</x:v>
      </x:c>
      <x:c r="H5" s="11" t="str">
        <x:v>NAVFAC Marianas Contracts Support Line MILCON Contract Office</x:v>
      </x:c>
      <x:c r="I5" s="11" t="str">
        <x:v>N40192-23-D-2803 CCSL SBMACC response to award annoucement.pdf</x:v>
      </x:c>
      <x:c r="J5" s="11" t="n">
        <x:v>1</x:v>
      </x:c>
      <x:c r="K5" s="11" t="str">
        <x:v>EVD-017</x:v>
      </x:c>
    </x:row>
    <x:row r="6">
      <x:c r="A6" s="11" t="str">
        <x:v>CON-003</x:v>
      </x:c>
      <x:c r="B6" s="11" t="str">
        <x:v>ORG-002</x:v>
      </x:c>
      <x:c r="C6" s="11" t="str">
        <x:v>Basic Contract POC / Authorized Signer</x:v>
      </x:c>
      <x:c r="D6" s="11" t="str">
        <x:v>William Martz</x:v>
      </x:c>
      <x:c r="E6" s="11" t="str">
        <x:v>General Manager</x:v>
      </x:c>
      <x:c r="F6" s="11" t="str">
        <x:v>907-748-9876</x:v>
      </x:c>
      <x:c r="G6" s="11" t="str">
        <x:v>william.martz@chugachgov.com</x:v>
      </x:c>
      <x:c r="H6" s="11" t="str">
        <x:v>Electronic communications; authorized to negotiate/sign</x:v>
      </x:c>
      <x:c r="I6" s="11" t="str">
        <x:v>N40192-23-D-2803 CCSL SBMACC response to award annoucement.pdf</x:v>
      </x:c>
      <x:c r="J6" s="11" t="n">
        <x:v>1</x:v>
      </x:c>
      <x:c r="K6" s="11" t="str">
        <x:v>EVD-018</x:v>
      </x:c>
    </x:row>
    <x:row r="7">
      <x:c r="A7" s="11" t="str">
        <x:v>CON-004</x:v>
      </x:c>
      <x:c r="B7" s="11" t="str">
        <x:v>ORG-002</x:v>
      </x:c>
      <x:c r="C7" s="11" t="str">
        <x:v>Authorized Negotiator / Task Order Signer</x:v>
      </x:c>
      <x:c r="D7" s="11" t="str">
        <x:v>Giovanni D. Teodoro</x:v>
      </x:c>
      <x:c r="E7" s="11" t="str">
        <x:v>Project Manager</x:v>
      </x:c>
      <x:c r="F7" s="11" t="str">
        <x:v>(671) 646-6138 ext 128; (671) 588-6138; (671) 486-3336</x:v>
      </x:c>
      <x:c r="G7" s="11" t="str">
        <x:v>giovanni.teodoro@chugachgov.com</x:v>
      </x:c>
      <x:c r="H7" s="11" t="str">
        <x:v>Task orders only for signing authority</x:v>
      </x:c>
      <x:c r="I7" s="11" t="str">
        <x:v>N40192-23-D-2803 CCSL SBMACC response to award annoucement.pdf</x:v>
      </x:c>
      <x:c r="J7" s="11" t="n">
        <x:v>1</x:v>
      </x:c>
      <x:c r="K7" s="11" t="str">
        <x:v>EVD-019</x:v>
      </x:c>
    </x:row>
    <x:row r="8">
      <x:c r="A8" s="11" t="str">
        <x:v>CON-005</x:v>
      </x:c>
      <x:c r="B8" s="11" t="str">
        <x:v>ORG-002</x:v>
      </x:c>
      <x:c r="C8" s="11" t="str">
        <x:v>Task Order RFP Email</x:v>
      </x:c>
      <x:c r="D8" s="11" t="str">
        <x:v>Rodney Hunt</x:v>
      </x:c>
      <x:c r="E8" s="11" t="str"/>
      <x:c r="F8" s="11" t="str"/>
      <x:c r="G8" s="11" t="str">
        <x:v>rodney.hunt@chugachgov.com</x:v>
      </x:c>
      <x:c r="H8" s="11" t="str">
        <x:v>Primary email address for task order RFP issuance</x:v>
      </x:c>
      <x:c r="I8" s="11" t="str">
        <x:v>N40192-23-D-2803 CCSL SBMACC response to award annoucement.pdf</x:v>
      </x:c>
      <x:c r="J8" s="11" t="n">
        <x:v>2</x:v>
      </x:c>
      <x:c r="K8" s="11" t="str">
        <x:v>EVD-020</x:v>
      </x:c>
    </x:row>
    <x:row r="9">
      <x:c r="A9" s="11" t="str">
        <x:v>CON-006</x:v>
      </x:c>
      <x:c r="B9" s="11" t="str">
        <x:v>ORG-002</x:v>
      </x:c>
      <x:c r="C9" s="11" t="str">
        <x:v>CPARS / Performance Evaluation POC</x:v>
      </x:c>
      <x:c r="D9" s="11" t="str">
        <x:v>John Sparkman</x:v>
      </x:c>
      <x:c r="E9" s="11" t="str">
        <x:v>Director of Construction</x:v>
      </x:c>
      <x:c r="F9" s="11" t="str">
        <x:v>918-927-2236</x:v>
      </x:c>
      <x:c r="G9" s="11" t="str">
        <x:v>John.Sparkman@chuachov.com</x:v>
      </x:c>
      <x:c r="H9" s="11" t="str">
        <x:v>Spelling preserved from source</x:v>
      </x:c>
      <x:c r="I9" s="11" t="str">
        <x:v>N40192-23-D-2803 CCSL SBMACC response to award annoucement.pdf</x:v>
      </x:c>
      <x:c r="J9" s="11" t="n">
        <x:v>2</x:v>
      </x:c>
      <x:c r="K9" s="11" t="str">
        <x:v>EVD-021</x:v>
      </x:c>
    </x:row>
  </x:sheetData>
  <x:mergeCells>
    <x:mergeCell ref="A1:K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0" hidden="0" customWidth="1"/>
    <x:col min="4" max="4" width="14" hidden="0" customWidth="1"/>
    <x:col min="5" max="5" width="40" hidden="0" customWidth="1"/>
    <x:col min="6" max="6" width="13" hidden="0" customWidth="1"/>
    <x:col min="7" max="7" width="16" hidden="0" customWidth="1"/>
    <x:col min="8" max="8" width="10" hidden="0" customWidth="1"/>
    <x:col min="9" max="9" width="14" hidden="0" customWidth="1"/>
    <x:col min="10" max="10" width="17" hidden="0" customWidth="1"/>
    <x:col min="11" max="11" width="14" hidden="0" customWidth="1"/>
    <x:col min="12" max="12" width="14" hidden="0" customWidth="1"/>
    <x:col min="13" max="13" width="18" hidden="0" customWidth="1"/>
    <x:col min="14" max="14" width="10" hidden="0" customWidth="1"/>
    <x:col min="15" max="15" width="54" hidden="0" customWidth="1"/>
    <x:col min="16" max="16" width="15" hidden="0" customWidth="1"/>
  </x:cols>
  <x:sheetData>
    <x:row r="1" ht="26" customHeight="1">
      <x:c r="A1" s="27" t="str">
        <x:v>05 CLINs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3" ht="30" customHeight="1">
      <x:c r="A3" s="32" t="str">
        <x:v>CLIN Record ID</x:v>
      </x:c>
      <x:c r="B3" s="32" t="str">
        <x:v>Contract Record ID</x:v>
      </x:c>
      <x:c r="C3" s="32" t="str">
        <x:v>CLIN</x:v>
      </x:c>
      <x:c r="D3" s="32" t="str">
        <x:v>Period Type</x:v>
      </x:c>
      <x:c r="E3" s="32" t="str">
        <x:v>Description</x:v>
      </x:c>
      <x:c r="F3" s="32" t="str">
        <x:v>Contract Type</x:v>
      </x:c>
      <x:c r="G3" s="32" t="str">
        <x:v>Max Quantity</x:v>
      </x:c>
      <x:c r="H3" s="32" t="str">
        <x:v>Unit</x:v>
      </x:c>
      <x:c r="I3" s="32" t="str">
        <x:v>Unit Price</x:v>
      </x:c>
      <x:c r="J3" s="32" t="str">
        <x:v>Max Amount</x:v>
      </x:c>
      <x:c r="K3" s="32" t="str">
        <x:v>Pricing Note</x:v>
      </x:c>
      <x:c r="L3" s="32" t="str">
        <x:v>FOB</x:v>
      </x:c>
      <x:c r="M3" s="32" t="str">
        <x:v>Purchase Request</x:v>
      </x:c>
      <x:c r="N3" s="32" t="str">
        <x:v>PSC</x:v>
      </x:c>
      <x:c r="O3" s="32" t="str">
        <x:v>Funding Rule</x:v>
      </x:c>
      <x:c r="P3" s="32" t="str">
        <x:v>Evidence ID</x:v>
      </x:c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11" t="str">
        <x:v>CLIN-0001</x:v>
      </x:c>
      <x:c r="B4" s="11" t="str">
        <x:v>CTR-N40192-23-D-2803</x:v>
      </x:c>
      <x:c r="C4" s="11" t="str">
        <x:v>0001</x:v>
      </x:c>
      <x:c r="D4" s="11" t="str">
        <x:v>Base</x:v>
      </x:c>
      <x:c r="E4" s="11" t="str">
        <x:v>Base Period - SB-DBMACC</x:v>
      </x:c>
      <x:c r="F4" s="11" t="str">
        <x:v>FFP</x:v>
      </x:c>
      <x:c r="G4" s="11" t="str">
        <x:v>600,000,000</x:v>
      </x:c>
      <x:c r="H4" s="11" t="str">
        <x:v>Each</x:v>
      </x:c>
      <x:c r="I4" s="22" t="n">
        <x:v>1</x:v>
      </x:c>
      <x:c r="J4" s="22" t="n">
        <x:v>600000000</x:v>
      </x:c>
      <x:c r="K4" s="11" t="str">
        <x:v>NTE</x:v>
      </x:c>
      <x:c r="L4" s="11" t="str">
        <x:v>Destination</x:v>
      </x:c>
      <x:c r="M4" s="11" t="str">
        <x:v>ACQR5858342</x:v>
      </x:c>
      <x:c r="N4" s="11" t="str">
        <x:v>Z1AZ</x:v>
      </x:c>
      <x:c r="O4" s="11" t="str">
        <x:v>Funds obligated upon issuance of each individual task order</x:v>
      </x:c>
      <x:c r="P4" s="11" t="str">
        <x:v>EVD-022</x:v>
      </x:c>
    </x:row>
    <x:row r="5">
      <x:c r="A5" s="11" t="str">
        <x:v>CLIN-0002</x:v>
      </x:c>
      <x:c r="B5" s="11" t="str">
        <x:v>CTR-N40192-23-D-2803</x:v>
      </x:c>
      <x:c r="C5" s="11" t="str">
        <x:v>0002</x:v>
      </x:c>
      <x:c r="D5" s="11" t="str">
        <x:v>Option 1</x:v>
      </x:c>
      <x:c r="E5" s="11" t="str">
        <x:v>First Option Period - SB-DBMACC</x:v>
      </x:c>
      <x:c r="F5" s="11" t="str">
        <x:v>FFP</x:v>
      </x:c>
      <x:c r="G5" s="11" t="str">
        <x:v>UNDEFINED</x:v>
      </x:c>
      <x:c r="H5" s="11" t="str"/>
      <x:c r="I5" s="22" t="str"/>
      <x:c r="J5" s="22" t="str"/>
      <x:c r="K5" s="11" t="str">
        <x:v>NSP</x:v>
      </x:c>
      <x:c r="L5" s="11" t="str">
        <x:v>Destination</x:v>
      </x:c>
      <x:c r="M5" s="11" t="str">
        <x:v>ACQR5858342</x:v>
      </x:c>
      <x:c r="N5" s="11" t="str">
        <x:v>Z1AZ</x:v>
      </x:c>
      <x:c r="O5" s="11" t="str">
        <x:v>Funds obligated upon issuance of each individual task order; task orders issued against CLIN 0001</x:v>
      </x:c>
      <x:c r="P5" s="11" t="str">
        <x:v>EVD-023</x:v>
      </x:c>
    </x:row>
    <x:row r="6">
      <x:c r="A6" s="11" t="str">
        <x:v>CLIN-0003</x:v>
      </x:c>
      <x:c r="B6" s="11" t="str">
        <x:v>CTR-N40192-23-D-2803</x:v>
      </x:c>
      <x:c r="C6" s="11" t="str">
        <x:v>0003</x:v>
      </x:c>
      <x:c r="D6" s="11" t="str">
        <x:v>Option 2</x:v>
      </x:c>
      <x:c r="E6" s="11" t="str">
        <x:v>Second Option Period - SB-DBMACC</x:v>
      </x:c>
      <x:c r="F6" s="11" t="str">
        <x:v>FFP</x:v>
      </x:c>
      <x:c r="G6" s="11" t="str">
        <x:v>UNDEFINED</x:v>
      </x:c>
      <x:c r="H6" s="11" t="str"/>
      <x:c r="I6" s="22" t="str"/>
      <x:c r="J6" s="22" t="str"/>
      <x:c r="K6" s="11" t="str">
        <x:v>NSP</x:v>
      </x:c>
      <x:c r="L6" s="11" t="str">
        <x:v>Destination</x:v>
      </x:c>
      <x:c r="M6" s="11" t="str">
        <x:v>ACQR5858342</x:v>
      </x:c>
      <x:c r="N6" s="11" t="str">
        <x:v>Z1AZ</x:v>
      </x:c>
      <x:c r="O6" s="11" t="str">
        <x:v>Funds obligated upon issuance of each individual task order; task orders issued against CLIN 0001</x:v>
      </x:c>
      <x:c r="P6" s="11" t="str">
        <x:v>EVD-024</x:v>
      </x:c>
    </x:row>
    <x:row r="7">
      <x:c r="A7" s="11" t="str">
        <x:v>CLIN-0004</x:v>
      </x:c>
      <x:c r="B7" s="11" t="str">
        <x:v>CTR-N40192-23-D-2803</x:v>
      </x:c>
      <x:c r="C7" s="11" t="str">
        <x:v>0004</x:v>
      </x:c>
      <x:c r="D7" s="11" t="str">
        <x:v>Option 3</x:v>
      </x:c>
      <x:c r="E7" s="11" t="str">
        <x:v>Third Option Period - SB-DBMACC</x:v>
      </x:c>
      <x:c r="F7" s="11" t="str">
        <x:v>FFP</x:v>
      </x:c>
      <x:c r="G7" s="11" t="str">
        <x:v>UNDEFINED</x:v>
      </x:c>
      <x:c r="H7" s="11" t="str"/>
      <x:c r="I7" s="22" t="str"/>
      <x:c r="J7" s="22" t="str"/>
      <x:c r="K7" s="11" t="str">
        <x:v>NSP</x:v>
      </x:c>
      <x:c r="L7" s="11" t="str">
        <x:v>Destination</x:v>
      </x:c>
      <x:c r="M7" s="11" t="str">
        <x:v>ACQR5858342</x:v>
      </x:c>
      <x:c r="N7" s="11" t="str">
        <x:v>Z1AZ</x:v>
      </x:c>
      <x:c r="O7" s="11" t="str">
        <x:v>Funds obligated upon issuance of each individual task order; task orders issued against CLIN 0001</x:v>
      </x:c>
      <x:c r="P7" s="11" t="str">
        <x:v>EVD-025</x:v>
      </x:c>
    </x:row>
  </x:sheetData>
  <x:mergeCells>
    <x:mergeCell ref="A1:P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30" hidden="0" customWidth="1"/>
    <x:col min="4" max="4" width="36" hidden="0" customWidth="1"/>
    <x:col min="5" max="5" width="10" hidden="0" customWidth="1"/>
    <x:col min="6" max="6" width="16" hidden="0" customWidth="1"/>
    <x:col min="7" max="7" width="13" hidden="0" customWidth="1"/>
    <x:col min="8" max="8" width="18" hidden="0" customWidth="1"/>
    <x:col min="9" max="9" width="34" hidden="0" customWidth="1"/>
    <x:col min="10" max="10" width="11" hidden="0" customWidth="1"/>
    <x:col min="11" max="11" width="15" hidden="0" customWidth="1"/>
  </x:cols>
  <x:sheetData>
    <x:row r="1" ht="26" customHeight="1">
      <x:c r="A1" s="27" t="str">
        <x:v>06 Funding Accounting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3" ht="30" customHeight="1">
      <x:c r="A3" s="32" t="str">
        <x:v>Funding Record ID</x:v>
      </x:c>
      <x:c r="B3" s="32" t="str">
        <x:v>Contract Record ID</x:v>
      </x:c>
      <x:c r="C3" s="32" t="str">
        <x:v>Field</x:v>
      </x:c>
      <x:c r="D3" s="32" t="str">
        <x:v>Value</x:v>
      </x:c>
      <x:c r="E3" s="32" t="str">
        <x:v>Currency</x:v>
      </x:c>
      <x:c r="F3" s="32" t="str">
        <x:v>Present On Source</x:v>
      </x:c>
      <x:c r="G3" s="32" t="str">
        <x:v>Populated</x:v>
      </x:c>
      <x:c r="H3" s="32" t="str">
        <x:v>Status</x:v>
      </x:c>
      <x:c r="I3" s="32" t="str">
        <x:v>Source Document</x:v>
      </x:c>
      <x:c r="J3" s="32" t="str">
        <x:v>Source Page</x:v>
      </x:c>
      <x:c r="K3" s="32" t="str">
        <x:v>Evidence ID</x:v>
      </x:c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11" t="str">
        <x:v>FND-001</x:v>
      </x:c>
      <x:c r="B4" s="11" t="str">
        <x:v>CTR-N40192-23-D-2803</x:v>
      </x:c>
      <x:c r="C4" s="11" t="str">
        <x:v>Award Amount / Aggregate Ceiling</x:v>
      </x:c>
      <x:c r="D4" s="22" t="n">
        <x:v>600000000</x:v>
      </x:c>
      <x:c r="E4" s="11" t="str">
        <x:v>USD</x:v>
      </x:c>
      <x:c r="F4" s="11" t="str">
        <x:v>Yes</x:v>
      </x:c>
      <x:c r="G4" s="11" t="str">
        <x:v>Yes</x:v>
      </x:c>
      <x:c r="H4" s="11" t="str">
        <x:v>Extracted</x:v>
      </x:c>
      <x:c r="I4" s="11" t="str">
        <x:v>SF1442 Award_N4019223D2803.pdf</x:v>
      </x:c>
      <x:c r="J4" s="11" t="n">
        <x:v>2</x:v>
      </x:c>
      <x:c r="K4" s="11" t="str">
        <x:v>EVD-026</x:v>
      </x:c>
    </x:row>
    <x:row r="5">
      <x:c r="A5" s="11" t="str">
        <x:v>FND-002</x:v>
      </x:c>
      <x:c r="B5" s="11" t="str">
        <x:v>CTR-N40192-23-D-2803</x:v>
      </x:c>
      <x:c r="C5" s="11" t="str">
        <x:v>Accounting and Appropriation Data</x:v>
      </x:c>
      <x:c r="D5" s="22" t="str"/>
      <x:c r="E5" s="11" t="str"/>
      <x:c r="F5" s="11" t="str">
        <x:v>Yes</x:v>
      </x:c>
      <x:c r="G5" s="11" t="str">
        <x:v>No</x:v>
      </x:c>
      <x:c r="H5" s="11" t="str">
        <x:v>SOURCE_BLANK</x:v>
      </x:c>
      <x:c r="I5" s="11" t="str">
        <x:v>SF1442 Award_N4019223D2803.pdf</x:v>
      </x:c>
      <x:c r="J5" s="11" t="n">
        <x:v>2</x:v>
      </x:c>
      <x:c r="K5" s="11" t="str">
        <x:v>EVD-027</x:v>
      </x:c>
    </x:row>
    <x:row r="6">
      <x:c r="A6" s="11" t="str">
        <x:v>FND-003</x:v>
      </x:c>
      <x:c r="B6" s="11" t="str">
        <x:v>CTR-N40192-23-D-2803</x:v>
      </x:c>
      <x:c r="C6" s="11" t="str">
        <x:v>Funding Obligation Rule</x:v>
      </x:c>
      <x:c r="D6" s="22" t="str">
        <x:v>Funds will be obligated upon issuance of each individual task order</x:v>
      </x:c>
      <x:c r="E6" s="11" t="str"/>
      <x:c r="F6" s="11" t="str">
        <x:v>Yes</x:v>
      </x:c>
      <x:c r="G6" s="11" t="str">
        <x:v>Yes</x:v>
      </x:c>
      <x:c r="H6" s="11" t="str">
        <x:v>Extracted</x:v>
      </x:c>
      <x:c r="I6" s="11" t="str">
        <x:v>SF1442 Award_N4019223D2803.pdf</x:v>
      </x:c>
      <x:c r="J6" s="11" t="n">
        <x:v>4</x:v>
      </x:c>
      <x:c r="K6" s="11" t="str">
        <x:v>EVD-028</x:v>
      </x:c>
    </x:row>
    <x:row r="7">
      <x:c r="A7" s="11" t="str">
        <x:v>FND-004</x:v>
      </x:c>
      <x:c r="B7" s="11" t="str">
        <x:v>CTR-N40192-23-D-2803</x:v>
      </x:c>
      <x:c r="C7" s="11" t="str">
        <x:v>Minimum Guarantee</x:v>
      </x:c>
      <x:c r="D7" s="22" t="n">
        <x:v>25000</x:v>
      </x:c>
      <x:c r="E7" s="11" t="str">
        <x:v>USD</x:v>
      </x:c>
      <x:c r="F7" s="11" t="str">
        <x:v>Yes</x:v>
      </x:c>
      <x:c r="G7" s="11" t="str">
        <x:v>Yes</x:v>
      </x:c>
      <x:c r="H7" s="11" t="str">
        <x:v>Extracted</x:v>
      </x:c>
      <x:c r="I7" s="11" t="str">
        <x:v>SF1442 Award_N4019223D2803.pdf</x:v>
      </x:c>
      <x:c r="J7" s="11" t="n">
        <x:v>3</x:v>
      </x:c>
      <x:c r="K7" s="11" t="str">
        <x:v>EVD-029</x:v>
      </x:c>
    </x:row>
  </x:sheetData>
  <x:mergeCells>
    <x:mergeCell ref="A1:K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0" hidden="0" customWidth="1"/>
    <x:col min="4" max="4" width="14" hidden="0" customWidth="1"/>
    <x:col min="5" max="5" width="14" hidden="0" customWidth="1"/>
    <x:col min="6" max="6" width="16" hidden="0" customWidth="1"/>
    <x:col min="7" max="7" width="34" hidden="0" customWidth="1"/>
    <x:col min="8" max="8" width="16" hidden="0" customWidth="1"/>
    <x:col min="9" max="9" width="16" hidden="0" customWidth="1"/>
    <x:col min="10" max="10" width="14" hidden="0" customWidth="1"/>
    <x:col min="11" max="11" width="14" hidden="0" customWidth="1"/>
    <x:col min="12" max="12" width="14" hidden="0" customWidth="1"/>
    <x:col min="13" max="13" width="15" hidden="0" customWidth="1"/>
  </x:cols>
  <x:sheetData>
    <x:row r="1" ht="26" customHeight="1">
      <x:c r="A1" s="27" t="str">
        <x:v>07 Performance Delivery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3" ht="30" customHeight="1">
      <x:c r="A3" s="32" t="str">
        <x:v>Performance Record ID</x:v>
      </x:c>
      <x:c r="B3" s="32" t="str">
        <x:v>Contract Record ID</x:v>
      </x:c>
      <x:c r="C3" s="32" t="str">
        <x:v>CLIN</x:v>
      </x:c>
      <x:c r="D3" s="32" t="str">
        <x:v>Start Date</x:v>
      </x:c>
      <x:c r="E3" s="32" t="str">
        <x:v>End Date</x:v>
      </x:c>
      <x:c r="F3" s="32" t="str">
        <x:v>Duration</x:v>
      </x:c>
      <x:c r="G3" s="32" t="str">
        <x:v>Ship-To Organization</x:v>
      </x:c>
      <x:c r="H3" s="32" t="str">
        <x:v>Ship-To Address ID</x:v>
      </x:c>
      <x:c r="I3" s="32" t="str">
        <x:v>DODAAC/CAGE</x:v>
      </x:c>
      <x:c r="J3" s="32" t="str">
        <x:v>FOB</x:v>
      </x:c>
      <x:c r="K3" s="32" t="str">
        <x:v>Bond Required</x:v>
      </x:c>
      <x:c r="L3" s="32" t="str">
        <x:v>Bond Due Days</x:v>
      </x:c>
      <x:c r="M3" s="32" t="str">
        <x:v>Evidence ID</x:v>
      </x:c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11" t="str">
        <x:v>PERF-001</x:v>
      </x:c>
      <x:c r="B4" s="11" t="str">
        <x:v>CTR-N40192-23-D-2803</x:v>
      </x:c>
      <x:c r="C4" s="11" t="str">
        <x:v>0001</x:v>
      </x:c>
      <x:c r="D4" s="11" t="str">
        <x:v>2023-09-29</x:v>
      </x:c>
      <x:c r="E4" s="11" t="str">
        <x:v>2028-09-28</x:v>
      </x:c>
      <x:c r="F4" s="11" t="str">
        <x:v>60 months</x:v>
      </x:c>
      <x:c r="G4" s="11" t="str">
        <x:v>Commanding Officer - NAVFAC Marianas</x:v>
      </x:c>
      <x:c r="H4" s="11" t="str">
        <x:v>ADDR-001</x:v>
      </x:c>
      <x:c r="I4" s="11" t="str">
        <x:v>N40192</x:v>
      </x:c>
      <x:c r="J4" s="11" t="str">
        <x:v>Destination</x:v>
      </x:c>
      <x:c r="K4" s="11" t="str">
        <x:v>Yes</x:v>
      </x:c>
      <x:c r="L4" s="11" t="n">
        <x:v>10</x:v>
      </x:c>
      <x:c r="M4" s="11" t="str">
        <x:v>EVD-030</x:v>
      </x:c>
    </x:row>
    <x:row r="5">
      <x:c r="A5" s="11" t="str">
        <x:v>PERF-002</x:v>
      </x:c>
      <x:c r="B5" s="11" t="str">
        <x:v>CTR-N40192-23-D-2803</x:v>
      </x:c>
      <x:c r="C5" s="11" t="str">
        <x:v>0002</x:v>
      </x:c>
      <x:c r="D5" s="11" t="str"/>
      <x:c r="E5" s="11" t="str"/>
      <x:c r="F5" s="11" t="str">
        <x:v>N/A</x:v>
      </x:c>
      <x:c r="G5" s="11" t="str"/>
      <x:c r="H5" s="11" t="str"/>
      <x:c r="I5" s="11" t="str">
        <x:v>N/A</x:v>
      </x:c>
      <x:c r="J5" s="11" t="str"/>
      <x:c r="K5" s="11" t="str"/>
      <x:c r="L5" s="11" t="str"/>
      <x:c r="M5" s="11" t="str">
        <x:v>EVD-031</x:v>
      </x:c>
    </x:row>
    <x:row r="6">
      <x:c r="A6" s="11" t="str">
        <x:v>PERF-003</x:v>
      </x:c>
      <x:c r="B6" s="11" t="str">
        <x:v>CTR-N40192-23-D-2803</x:v>
      </x:c>
      <x:c r="C6" s="11" t="str">
        <x:v>0003</x:v>
      </x:c>
      <x:c r="D6" s="11" t="str"/>
      <x:c r="E6" s="11" t="str"/>
      <x:c r="F6" s="11" t="str">
        <x:v>N/A</x:v>
      </x:c>
      <x:c r="G6" s="11" t="str"/>
      <x:c r="H6" s="11" t="str"/>
      <x:c r="I6" s="11" t="str">
        <x:v>N/A</x:v>
      </x:c>
      <x:c r="J6" s="11" t="str"/>
      <x:c r="K6" s="11" t="str"/>
      <x:c r="L6" s="11" t="str"/>
      <x:c r="M6" s="11" t="str">
        <x:v>EVD-032</x:v>
      </x:c>
    </x:row>
    <x:row r="7">
      <x:c r="A7" s="11" t="str">
        <x:v>PERF-004</x:v>
      </x:c>
      <x:c r="B7" s="11" t="str">
        <x:v>CTR-N40192-23-D-2803</x:v>
      </x:c>
      <x:c r="C7" s="11" t="str">
        <x:v>0004</x:v>
      </x:c>
      <x:c r="D7" s="11" t="str"/>
      <x:c r="E7" s="11" t="str"/>
      <x:c r="F7" s="11" t="str">
        <x:v>N/A</x:v>
      </x:c>
      <x:c r="G7" s="11" t="str"/>
      <x:c r="H7" s="11" t="str"/>
      <x:c r="I7" s="11" t="str">
        <x:v>N/A</x:v>
      </x:c>
      <x:c r="J7" s="11" t="str"/>
      <x:c r="K7" s="11" t="str"/>
      <x:c r="L7" s="11" t="str"/>
      <x:c r="M7" s="11" t="str">
        <x:v>EVD-033</x:v>
      </x:c>
    </x:row>
  </x:sheetData>
  <x:mergeCells>
    <x:mergeCell ref="A1:M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2" hidden="0" customWidth="1"/>
    <x:col min="4" max="4" width="16" hidden="0" customWidth="1"/>
    <x:col min="5" max="5" width="52" hidden="0" customWidth="1"/>
    <x:col min="6" max="6" width="16" hidden="0" customWidth="1"/>
    <x:col min="7" max="7" width="14" hidden="0" customWidth="1"/>
    <x:col min="8" max="8" width="12" hidden="0" customWidth="1"/>
    <x:col min="9" max="9" width="18" hidden="0" customWidth="1"/>
    <x:col min="10" max="10" width="34" hidden="0" customWidth="1"/>
    <x:col min="11" max="11" width="10" hidden="0" customWidth="1"/>
    <x:col min="12" max="12" width="70" hidden="0" customWidth="1"/>
    <x:col min="13" max="13" width="16" hidden="0" customWidth="1"/>
  </x:cols>
  <x:sheetData>
    <x:row r="1" ht="26" customHeight="1">
      <x:c r="A1" s="27" t="str">
        <x:v>08 Clauses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3" ht="30" customHeight="1">
      <x:c r="A3" s="32" t="str">
        <x:v>Clause Record ID</x:v>
      </x:c>
      <x:c r="B3" s="32" t="str">
        <x:v>Contract Record ID</x:v>
      </x:c>
      <x:c r="C3" s="32" t="str">
        <x:v>Regulation</x:v>
      </x:c>
      <x:c r="D3" s="32" t="str">
        <x:v>Clause Number</x:v>
      </x:c>
      <x:c r="E3" s="32" t="str">
        <x:v>Source Clause Title</x:v>
      </x:c>
      <x:c r="F3" s="32" t="str">
        <x:v>Source Effective Date</x:v>
      </x:c>
      <x:c r="G3" s="32" t="str">
        <x:v>Alternate</x:v>
      </x:c>
      <x:c r="H3" s="32" t="str">
        <x:v>Deviation</x:v>
      </x:c>
      <x:c r="I3" s="32" t="str">
        <x:v>Incorporation Type</x:v>
      </x:c>
      <x:c r="J3" s="32" t="str">
        <x:v>Source Document</x:v>
      </x:c>
      <x:c r="K3" s="32" t="str">
        <x:v>Source Page</x:v>
      </x:c>
      <x:c r="L3" s="32" t="str">
        <x:v>Raw Evidence</x:v>
      </x:c>
      <x:c r="M3" s="32" t="str">
        <x:v>Review Status</x:v>
      </x:c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11" t="str">
        <x:v>CLS-0001</x:v>
      </x:c>
      <x:c r="B4" s="11" t="str">
        <x:v>CTR-N40192-23-D-2803</x:v>
      </x:c>
      <x:c r="C4" s="11" t="str">
        <x:v>FAR</x:v>
      </x:c>
      <x:c r="D4" s="11" t="str">
        <x:v>52.202-1</x:v>
      </x:c>
      <x:c r="E4" s="11" t="str">
        <x:v>Definitions</x:v>
      </x:c>
      <x:c r="F4" s="11" t="str">
        <x:v>JUN 2020</x:v>
      </x:c>
      <x:c r="G4" s="11" t="str"/>
      <x:c r="H4" s="11" t="str"/>
      <x:c r="I4" s="11" t="str">
        <x:v>BY REFERENCE</x:v>
      </x:c>
      <x:c r="J4" s="11" t="str">
        <x:v>SF1442 Award_N4019223D2803.pdf</x:v>
      </x:c>
      <x:c r="K4" s="11" t="n">
        <x:v>8</x:v>
      </x:c>
      <x:c r="L4" s="11" t="str">
        <x:v>52.202-1 Definitions JUN 2020</x:v>
      </x:c>
      <x:c r="M4" s="11" t="str">
        <x:v>Extracted</x:v>
      </x:c>
    </x:row>
    <x:row r="5">
      <x:c r="A5" s="11" t="str">
        <x:v>CLS-0002</x:v>
      </x:c>
      <x:c r="B5" s="11" t="str">
        <x:v>CTR-N40192-23-D-2803</x:v>
      </x:c>
      <x:c r="C5" s="11" t="str">
        <x:v>FAR</x:v>
      </x:c>
      <x:c r="D5" s="11" t="str">
        <x:v>52.203-3</x:v>
      </x:c>
      <x:c r="E5" s="11" t="str">
        <x:v>Gratuities</x:v>
      </x:c>
      <x:c r="F5" s="11" t="str">
        <x:v>APR 1984</x:v>
      </x:c>
      <x:c r="G5" s="11" t="str"/>
      <x:c r="H5" s="11" t="str"/>
      <x:c r="I5" s="11" t="str">
        <x:v>BY REFERENCE</x:v>
      </x:c>
      <x:c r="J5" s="11" t="str">
        <x:v>SF1442 Award_N4019223D2803.pdf</x:v>
      </x:c>
      <x:c r="K5" s="11" t="n">
        <x:v>8</x:v>
      </x:c>
      <x:c r="L5" s="11" t="str">
        <x:v>52.203-3 Gratuities APR 1984</x:v>
      </x:c>
      <x:c r="M5" s="11" t="str">
        <x:v>Extracted</x:v>
      </x:c>
    </x:row>
    <x:row r="6">
      <x:c r="A6" s="11" t="str">
        <x:v>CLS-0003</x:v>
      </x:c>
      <x:c r="B6" s="11" t="str">
        <x:v>CTR-N40192-23-D-2803</x:v>
      </x:c>
      <x:c r="C6" s="11" t="str">
        <x:v>FAR</x:v>
      </x:c>
      <x:c r="D6" s="11" t="str">
        <x:v>52.203-5</x:v>
      </x:c>
      <x:c r="E6" s="11" t="str">
        <x:v>Covenant Against Contingent Fees</x:v>
      </x:c>
      <x:c r="F6" s="11" t="str">
        <x:v>MAY 2014</x:v>
      </x:c>
      <x:c r="G6" s="11" t="str"/>
      <x:c r="H6" s="11" t="str"/>
      <x:c r="I6" s="11" t="str">
        <x:v>BY REFERENCE</x:v>
      </x:c>
      <x:c r="J6" s="11" t="str">
        <x:v>SF1442 Award_N4019223D2803.pdf</x:v>
      </x:c>
      <x:c r="K6" s="11" t="n">
        <x:v>8</x:v>
      </x:c>
      <x:c r="L6" s="11" t="str">
        <x:v>52.203-5 Covenant Against Contingent Fees MAY 2014</x:v>
      </x:c>
      <x:c r="M6" s="11" t="str">
        <x:v>Extracted</x:v>
      </x:c>
    </x:row>
    <x:row r="7">
      <x:c r="A7" s="11" t="str">
        <x:v>CLS-0004</x:v>
      </x:c>
      <x:c r="B7" s="11" t="str">
        <x:v>CTR-N40192-23-D-2803</x:v>
      </x:c>
      <x:c r="C7" s="11" t="str">
        <x:v>FAR</x:v>
      </x:c>
      <x:c r="D7" s="11" t="str">
        <x:v>52.203-6</x:v>
      </x:c>
      <x:c r="E7" s="11" t="str">
        <x:v>Restrictions On Subcontractor Sales To The Government</x:v>
      </x:c>
      <x:c r="F7" s="11" t="str">
        <x:v>JUN 2020</x:v>
      </x:c>
      <x:c r="G7" s="11" t="str"/>
      <x:c r="H7" s="11" t="str"/>
      <x:c r="I7" s="11" t="str">
        <x:v>BY REFERENCE</x:v>
      </x:c>
      <x:c r="J7" s="11" t="str">
        <x:v>SF1442 Award_N4019223D2803.pdf</x:v>
      </x:c>
      <x:c r="K7" s="11" t="n">
        <x:v>8</x:v>
      </x:c>
      <x:c r="L7" s="11" t="str">
        <x:v>52.203-6 Restrictions On Subcontractor Sales To The Government JUN 2020</x:v>
      </x:c>
      <x:c r="M7" s="11" t="str">
        <x:v>Extracted</x:v>
      </x:c>
    </x:row>
    <x:row r="8">
      <x:c r="A8" s="11" t="str">
        <x:v>CLS-0005</x:v>
      </x:c>
      <x:c r="B8" s="11" t="str">
        <x:v>CTR-N40192-23-D-2803</x:v>
      </x:c>
      <x:c r="C8" s="11" t="str">
        <x:v>FAR</x:v>
      </x:c>
      <x:c r="D8" s="11" t="str">
        <x:v>52.203-7</x:v>
      </x:c>
      <x:c r="E8" s="11" t="str">
        <x:v>Anti-Kickback Procedures</x:v>
      </x:c>
      <x:c r="F8" s="11" t="str">
        <x:v>JUN 2020</x:v>
      </x:c>
      <x:c r="G8" s="11" t="str"/>
      <x:c r="H8" s="11" t="str"/>
      <x:c r="I8" s="11" t="str">
        <x:v>BY REFERENCE</x:v>
      </x:c>
      <x:c r="J8" s="11" t="str">
        <x:v>SF1442 Award_N4019223D2803.pdf</x:v>
      </x:c>
      <x:c r="K8" s="11" t="n">
        <x:v>8</x:v>
      </x:c>
      <x:c r="L8" s="11" t="str">
        <x:v>52.203-7 Anti-Kickback Procedures JUN 2020</x:v>
      </x:c>
      <x:c r="M8" s="11" t="str">
        <x:v>Extracted</x:v>
      </x:c>
    </x:row>
    <x:row r="9">
      <x:c r="A9" s="11" t="str">
        <x:v>CLS-0006</x:v>
      </x:c>
      <x:c r="B9" s="11" t="str">
        <x:v>CTR-N40192-23-D-2803</x:v>
      </x:c>
      <x:c r="C9" s="11" t="str">
        <x:v>FAR</x:v>
      </x:c>
      <x:c r="D9" s="11" t="str">
        <x:v>52.203-10</x:v>
      </x:c>
      <x:c r="E9" s="11" t="str">
        <x:v>Price Or Fee Adjustment For Illegal Or Improper Activity</x:v>
      </x:c>
      <x:c r="F9" s="11" t="str">
        <x:v>MAY 2014</x:v>
      </x:c>
      <x:c r="G9" s="11" t="str"/>
      <x:c r="H9" s="11" t="str"/>
      <x:c r="I9" s="11" t="str">
        <x:v>BY REFERENCE</x:v>
      </x:c>
      <x:c r="J9" s="11" t="str">
        <x:v>SF1442 Award_N4019223D2803.pdf</x:v>
      </x:c>
      <x:c r="K9" s="11" t="n">
        <x:v>8</x:v>
      </x:c>
      <x:c r="L9" s="11" t="str">
        <x:v>52.203-10 Price Or Fee Adjustment For Illegal Or Improper Activity MAY 2014</x:v>
      </x:c>
      <x:c r="M9" s="11" t="str">
        <x:v>Extracted</x:v>
      </x:c>
    </x:row>
    <x:row r="10">
      <x:c r="A10" s="11" t="str">
        <x:v>CLS-0007</x:v>
      </x:c>
      <x:c r="B10" s="11" t="str">
        <x:v>CTR-N40192-23-D-2803</x:v>
      </x:c>
      <x:c r="C10" s="11" t="str">
        <x:v>FAR</x:v>
      </x:c>
      <x:c r="D10" s="11" t="str">
        <x:v>52.203-12</x:v>
      </x:c>
      <x:c r="E10" s="11" t="str">
        <x:v>Limitation On Payments To Influence Certain Federal</x:v>
      </x:c>
      <x:c r="F10" s="11" t="str">
        <x:v>JUN 2020</x:v>
      </x:c>
      <x:c r="G10" s="11" t="str"/>
      <x:c r="H10" s="11" t="str"/>
      <x:c r="I10" s="11" t="str">
        <x:v>BY REFERENCE</x:v>
      </x:c>
      <x:c r="J10" s="11" t="str">
        <x:v>SF1442 Award_N4019223D2803.pdf</x:v>
      </x:c>
      <x:c r="K10" s="11" t="n">
        <x:v>8</x:v>
      </x:c>
      <x:c r="L10" s="11" t="str">
        <x:v>52.203-12 Limitation On Payments To Influence Certain Federal JUN 2020</x:v>
      </x:c>
      <x:c r="M10" s="11" t="str">
        <x:v>Extracted</x:v>
      </x:c>
    </x:row>
    <x:row r="11">
      <x:c r="A11" s="11" t="str">
        <x:v>CLS-0008</x:v>
      </x:c>
      <x:c r="B11" s="11" t="str">
        <x:v>CTR-N40192-23-D-2803</x:v>
      </x:c>
      <x:c r="C11" s="11" t="str">
        <x:v>FAR</x:v>
      </x:c>
      <x:c r="D11" s="11" t="str">
        <x:v>52.203-13</x:v>
      </x:c>
      <x:c r="E11" s="11" t="str">
        <x:v>Contractor Code of Business Ethics and Conduct</x:v>
      </x:c>
      <x:c r="F11" s="11" t="str">
        <x:v>JUN 2020</x:v>
      </x:c>
      <x:c r="G11" s="11" t="str"/>
      <x:c r="H11" s="11" t="str"/>
      <x:c r="I11" s="11" t="str">
        <x:v>BY REFERENCE</x:v>
      </x:c>
      <x:c r="J11" s="11" t="str">
        <x:v>SF1442 Award_N4019223D2803.pdf</x:v>
      </x:c>
      <x:c r="K11" s="11" t="n">
        <x:v>8</x:v>
      </x:c>
      <x:c r="L11" s="11" t="str">
        <x:v>52.203-13 Contractor Code of Business Ethics and Conduct JUN 2020</x:v>
      </x:c>
      <x:c r="M11" s="11" t="str">
        <x:v>Extracted</x:v>
      </x:c>
    </x:row>
    <x:row r="12">
      <x:c r="A12" s="11" t="str">
        <x:v>CLS-0009</x:v>
      </x:c>
      <x:c r="B12" s="11" t="str">
        <x:v>CTR-N40192-23-D-2803</x:v>
      </x:c>
      <x:c r="C12" s="11" t="str">
        <x:v>FAR</x:v>
      </x:c>
      <x:c r="D12" s="11" t="str">
        <x:v>52.204-2</x:v>
      </x:c>
      <x:c r="E12" s="11" t="str">
        <x:v>Security Requirements</x:v>
      </x:c>
      <x:c r="F12" s="11" t="str">
        <x:v>MAR 2021</x:v>
      </x:c>
      <x:c r="G12" s="11" t="str"/>
      <x:c r="H12" s="11" t="str"/>
      <x:c r="I12" s="11" t="str">
        <x:v>BY REFERENCE</x:v>
      </x:c>
      <x:c r="J12" s="11" t="str">
        <x:v>SF1442 Award_N4019223D2803.pdf</x:v>
      </x:c>
      <x:c r="K12" s="11" t="n">
        <x:v>8</x:v>
      </x:c>
      <x:c r="L12" s="11" t="str">
        <x:v>52.204-2 Security Requirements MAR 2021</x:v>
      </x:c>
      <x:c r="M12" s="11" t="str">
        <x:v>Extracted</x:v>
      </x:c>
    </x:row>
    <x:row r="13">
      <x:c r="A13" s="11" t="str">
        <x:v>CLS-0010</x:v>
      </x:c>
      <x:c r="B13" s="11" t="str">
        <x:v>CTR-N40192-23-D-2803</x:v>
      </x:c>
      <x:c r="C13" s="11" t="str">
        <x:v>FAR</x:v>
      </x:c>
      <x:c r="D13" s="11" t="str">
        <x:v>52.204-4</x:v>
      </x:c>
      <x:c r="E13" s="11" t="str">
        <x:v>Printed or Copied Double-Sided on Postconsumer Fiber</x:v>
      </x:c>
      <x:c r="F13" s="11" t="str">
        <x:v>MAY 2011</x:v>
      </x:c>
      <x:c r="G13" s="11" t="str"/>
      <x:c r="H13" s="11" t="str"/>
      <x:c r="I13" s="11" t="str">
        <x:v>BY REFERENCE</x:v>
      </x:c>
      <x:c r="J13" s="11" t="str">
        <x:v>SF1442 Award_N4019223D2803.pdf</x:v>
      </x:c>
      <x:c r="K13" s="11" t="n">
        <x:v>8</x:v>
      </x:c>
      <x:c r="L13" s="11" t="str">
        <x:v>52.204-4 Printed or Copied Double-Sided on Postconsumer Fiber MAY 2011</x:v>
      </x:c>
      <x:c r="M13" s="11" t="str">
        <x:v>Extracted</x:v>
      </x:c>
    </x:row>
    <x:row r="14">
      <x:c r="A14" s="11" t="str">
        <x:v>CLS-0011</x:v>
      </x:c>
      <x:c r="B14" s="11" t="str">
        <x:v>CTR-N40192-23-D-2803</x:v>
      </x:c>
      <x:c r="C14" s="11" t="str">
        <x:v>FAR</x:v>
      </x:c>
      <x:c r="D14" s="11" t="str">
        <x:v>52.204-9</x:v>
      </x:c>
      <x:c r="E14" s="11" t="str">
        <x:v>Personal Identity Verification of Contractor Personnel</x:v>
      </x:c>
      <x:c r="F14" s="11" t="str">
        <x:v>JAN 2011</x:v>
      </x:c>
      <x:c r="G14" s="11" t="str"/>
      <x:c r="H14" s="11" t="str"/>
      <x:c r="I14" s="11" t="str">
        <x:v>BY REFERENCE</x:v>
      </x:c>
      <x:c r="J14" s="11" t="str">
        <x:v>SF1442 Award_N4019223D2803.pdf</x:v>
      </x:c>
      <x:c r="K14" s="11" t="n">
        <x:v>8</x:v>
      </x:c>
      <x:c r="L14" s="11" t="str">
        <x:v>52.204-9 Personal Identity Verification of Contractor Personnel JAN 2011</x:v>
      </x:c>
      <x:c r="M14" s="11" t="str">
        <x:v>Extracted</x:v>
      </x:c>
    </x:row>
    <x:row r="15">
      <x:c r="A15" s="11" t="str">
        <x:v>CLS-0012</x:v>
      </x:c>
      <x:c r="B15" s="11" t="str">
        <x:v>CTR-N40192-23-D-2803</x:v>
      </x:c>
      <x:c r="C15" s="11" t="str">
        <x:v>FAR</x:v>
      </x:c>
      <x:c r="D15" s="11" t="str">
        <x:v>52.204-10</x:v>
      </x:c>
      <x:c r="E15" s="11" t="str">
        <x:v>Reporting Executive Compensation and First-Tier</x:v>
      </x:c>
      <x:c r="F15" s="11" t="str">
        <x:v>JUN 2020</x:v>
      </x:c>
      <x:c r="G15" s="11" t="str"/>
      <x:c r="H15" s="11" t="str"/>
      <x:c r="I15" s="11" t="str">
        <x:v>BY REFERENCE</x:v>
      </x:c>
      <x:c r="J15" s="11" t="str">
        <x:v>SF1442 Award_N4019223D2803.pdf</x:v>
      </x:c>
      <x:c r="K15" s="11" t="n">
        <x:v>8</x:v>
      </x:c>
      <x:c r="L15" s="11" t="str">
        <x:v>52.204-10 Reporting Executive Compensation and First-Tier JUN 2020</x:v>
      </x:c>
      <x:c r="M15" s="11" t="str">
        <x:v>Extracted</x:v>
      </x:c>
    </x:row>
    <x:row r="16">
      <x:c r="A16" s="11" t="str">
        <x:v>CLS-0013</x:v>
      </x:c>
      <x:c r="B16" s="11" t="str">
        <x:v>CTR-N40192-23-D-2803</x:v>
      </x:c>
      <x:c r="C16" s="11" t="str">
        <x:v>FAR</x:v>
      </x:c>
      <x:c r="D16" s="11" t="str">
        <x:v>52.204-13</x:v>
      </x:c>
      <x:c r="E16" s="11" t="str">
        <x:v>System for Award Management Maintenance</x:v>
      </x:c>
      <x:c r="F16" s="11" t="str">
        <x:v>OCT 2018</x:v>
      </x:c>
      <x:c r="G16" s="11" t="str"/>
      <x:c r="H16" s="11" t="str"/>
      <x:c r="I16" s="11" t="str">
        <x:v>BY REFERENCE</x:v>
      </x:c>
      <x:c r="J16" s="11" t="str">
        <x:v>SF1442 Award_N4019223D2803.pdf</x:v>
      </x:c>
      <x:c r="K16" s="11" t="n">
        <x:v>8</x:v>
      </x:c>
      <x:c r="L16" s="11" t="str">
        <x:v>52.204-13 System for Award Management Maintenance OCT 2018</x:v>
      </x:c>
      <x:c r="M16" s="11" t="str">
        <x:v>Extracted</x:v>
      </x:c>
    </x:row>
    <x:row r="17">
      <x:c r="A17" s="11" t="str">
        <x:v>CLS-0014</x:v>
      </x:c>
      <x:c r="B17" s="11" t="str">
        <x:v>CTR-N40192-23-D-2803</x:v>
      </x:c>
      <x:c r="C17" s="11" t="str">
        <x:v>FAR</x:v>
      </x:c>
      <x:c r="D17" s="11" t="str">
        <x:v>52.204-15</x:v>
      </x:c>
      <x:c r="E17" s="11" t="str">
        <x:v>Service Contract Reporting Requirements for Indefinite-</x:v>
      </x:c>
      <x:c r="F17" s="11" t="str">
        <x:v>OCT 2016</x:v>
      </x:c>
      <x:c r="G17" s="11" t="str"/>
      <x:c r="H17" s="11" t="str"/>
      <x:c r="I17" s="11" t="str">
        <x:v>BY REFERENCE</x:v>
      </x:c>
      <x:c r="J17" s="11" t="str">
        <x:v>SF1442 Award_N4019223D2803.pdf</x:v>
      </x:c>
      <x:c r="K17" s="11" t="n">
        <x:v>8</x:v>
      </x:c>
      <x:c r="L17" s="11" t="str">
        <x:v>52.204-15 Service Contract Reporting Requirements for Indefinite- OCT 2016</x:v>
      </x:c>
      <x:c r="M17" s="11" t="str">
        <x:v>Extracted</x:v>
      </x:c>
    </x:row>
    <x:row r="18">
      <x:c r="A18" s="11" t="str">
        <x:v>CLS-0015</x:v>
      </x:c>
      <x:c r="B18" s="11" t="str">
        <x:v>CTR-N40192-23-D-2803</x:v>
      </x:c>
      <x:c r="C18" s="11" t="str">
        <x:v>FAR</x:v>
      </x:c>
      <x:c r="D18" s="11" t="str">
        <x:v>52.204-18</x:v>
      </x:c>
      <x:c r="E18" s="11" t="str">
        <x:v>Commercial and Government Entity Code Maintenance</x:v>
      </x:c>
      <x:c r="F18" s="11" t="str">
        <x:v>AUG 2020</x:v>
      </x:c>
      <x:c r="G18" s="11" t="str"/>
      <x:c r="H18" s="11" t="str"/>
      <x:c r="I18" s="11" t="str">
        <x:v>BY REFERENCE</x:v>
      </x:c>
      <x:c r="J18" s="11" t="str">
        <x:v>SF1442 Award_N4019223D2803.pdf</x:v>
      </x:c>
      <x:c r="K18" s="11" t="n">
        <x:v>8</x:v>
      </x:c>
      <x:c r="L18" s="11" t="str">
        <x:v>52.204-18 Commercial and Government Entity Code Maintenance AUG 2020</x:v>
      </x:c>
      <x:c r="M18" s="11" t="str">
        <x:v>Extracted</x:v>
      </x:c>
    </x:row>
    <x:row r="19">
      <x:c r="A19" s="11" t="str">
        <x:v>CLS-0016</x:v>
      </x:c>
      <x:c r="B19" s="11" t="str">
        <x:v>CTR-N40192-23-D-2803</x:v>
      </x:c>
      <x:c r="C19" s="11" t="str">
        <x:v>FAR</x:v>
      </x:c>
      <x:c r="D19" s="11" t="str">
        <x:v>52.204-19</x:v>
      </x:c>
      <x:c r="E19" s="11" t="str">
        <x:v>Incorporation by Reference of Representations and</x:v>
      </x:c>
      <x:c r="F19" s="11" t="str">
        <x:v>DEC 2014</x:v>
      </x:c>
      <x:c r="G19" s="11" t="str"/>
      <x:c r="H19" s="11" t="str"/>
      <x:c r="I19" s="11" t="str">
        <x:v>BY REFERENCE</x:v>
      </x:c>
      <x:c r="J19" s="11" t="str">
        <x:v>SF1442 Award_N4019223D2803.pdf</x:v>
      </x:c>
      <x:c r="K19" s="11" t="n">
        <x:v>8</x:v>
      </x:c>
      <x:c r="L19" s="11" t="str">
        <x:v>52.204-19 Incorporation by Reference of Representations and DEC 2014</x:v>
      </x:c>
      <x:c r="M19" s="11" t="str">
        <x:v>Extracted</x:v>
      </x:c>
    </x:row>
    <x:row r="20">
      <x:c r="A20" s="11" t="str">
        <x:v>CLS-0017</x:v>
      </x:c>
      <x:c r="B20" s="11" t="str">
        <x:v>CTR-N40192-23-D-2803</x:v>
      </x:c>
      <x:c r="C20" s="11" t="str">
        <x:v>FAR</x:v>
      </x:c>
      <x:c r="D20" s="11" t="str">
        <x:v>52.204-21</x:v>
      </x:c>
      <x:c r="E20" s="11" t="str">
        <x:v>Basic Safeguarding of Covered Contractor Information</x:v>
      </x:c>
      <x:c r="F20" s="11" t="str">
        <x:v>JUN 2016</x:v>
      </x:c>
      <x:c r="G20" s="11" t="str"/>
      <x:c r="H20" s="11" t="str"/>
      <x:c r="I20" s="11" t="str">
        <x:v>BY REFERENCE</x:v>
      </x:c>
      <x:c r="J20" s="11" t="str">
        <x:v>SF1442 Award_N4019223D2803.pdf</x:v>
      </x:c>
      <x:c r="K20" s="11" t="n">
        <x:v>8</x:v>
      </x:c>
      <x:c r="L20" s="11" t="str">
        <x:v>52.204-21 Basic Safeguarding of Covered Contractor Information JUN 2016</x:v>
      </x:c>
      <x:c r="M20" s="11" t="str">
        <x:v>Extracted</x:v>
      </x:c>
    </x:row>
    <x:row r="21">
      <x:c r="A21" s="11" t="str">
        <x:v>CLS-0018</x:v>
      </x:c>
      <x:c r="B21" s="11" t="str">
        <x:v>CTR-N40192-23-D-2803</x:v>
      </x:c>
      <x:c r="C21" s="11" t="str">
        <x:v>FAR</x:v>
      </x:c>
      <x:c r="D21" s="11" t="str">
        <x:v>52.204-23</x:v>
      </x:c>
      <x:c r="E21" s="11" t="str">
        <x:v>Prohibition on Contracting for Hardware, Software, and</x:v>
      </x:c>
      <x:c r="F21" s="11" t="str">
        <x:v>JUL 2018</x:v>
      </x:c>
      <x:c r="G21" s="11" t="str"/>
      <x:c r="H21" s="11" t="str"/>
      <x:c r="I21" s="11" t="str">
        <x:v>BY REFERENCE</x:v>
      </x:c>
      <x:c r="J21" s="11" t="str">
        <x:v>SF1442 Award_N4019223D2803.pdf</x:v>
      </x:c>
      <x:c r="K21" s="11" t="n">
        <x:v>8</x:v>
      </x:c>
      <x:c r="L21" s="11" t="str">
        <x:v>52.204-23 Prohibition on Contracting for Hardware, Software, and JUL 2018</x:v>
      </x:c>
      <x:c r="M21" s="11" t="str">
        <x:v>Extracted</x:v>
      </x:c>
    </x:row>
    <x:row r="22">
      <x:c r="A22" s="11" t="str">
        <x:v>CLS-0019</x:v>
      </x:c>
      <x:c r="B22" s="11" t="str">
        <x:v>CTR-N40192-23-D-2803</x:v>
      </x:c>
      <x:c r="C22" s="11" t="str">
        <x:v>FAR</x:v>
      </x:c>
      <x:c r="D22" s="11" t="str">
        <x:v>52.209-9</x:v>
      </x:c>
      <x:c r="E22" s="11" t="str">
        <x:v>Updates of Publicly Available Information Regarding</x:v>
      </x:c>
      <x:c r="F22" s="11" t="str">
        <x:v>OCT 2018</x:v>
      </x:c>
      <x:c r="G22" s="11" t="str"/>
      <x:c r="H22" s="11" t="str"/>
      <x:c r="I22" s="11" t="str">
        <x:v>BY REFERENCE</x:v>
      </x:c>
      <x:c r="J22" s="11" t="str">
        <x:v>SF1442 Award_N4019223D2803.pdf</x:v>
      </x:c>
      <x:c r="K22" s="11" t="n">
        <x:v>8</x:v>
      </x:c>
      <x:c r="L22" s="11" t="str">
        <x:v>52.209-9 Updates of Publicly Available Information Regarding OCT 2018</x:v>
      </x:c>
      <x:c r="M22" s="11" t="str">
        <x:v>Extracted</x:v>
      </x:c>
    </x:row>
    <x:row r="23">
      <x:c r="A23" s="11" t="str">
        <x:v>CLS-0020</x:v>
      </x:c>
      <x:c r="B23" s="11" t="str">
        <x:v>CTR-N40192-23-D-2803</x:v>
      </x:c>
      <x:c r="C23" s="11" t="str">
        <x:v>FAR</x:v>
      </x:c>
      <x:c r="D23" s="11" t="str">
        <x:v>52.209-10</x:v>
      </x:c>
      <x:c r="E23" s="11" t="str">
        <x:v>Prohibition on Contracting With Inverted Domestic</x:v>
      </x:c>
      <x:c r="F23" s="11" t="str">
        <x:v>NOV 2015</x:v>
      </x:c>
      <x:c r="G23" s="11" t="str"/>
      <x:c r="H23" s="11" t="str"/>
      <x:c r="I23" s="11" t="str">
        <x:v>BY REFERENCE</x:v>
      </x:c>
      <x:c r="J23" s="11" t="str">
        <x:v>SF1442 Award_N4019223D2803.pdf</x:v>
      </x:c>
      <x:c r="K23" s="11" t="n">
        <x:v>8</x:v>
      </x:c>
      <x:c r="L23" s="11" t="str">
        <x:v>52.209-10 Prohibition on Contracting With Inverted Domestic NOV 2015</x:v>
      </x:c>
      <x:c r="M23" s="11" t="str">
        <x:v>Extracted</x:v>
      </x:c>
    </x:row>
    <x:row r="24">
      <x:c r="A24" s="11" t="str">
        <x:v>CLS-0021</x:v>
      </x:c>
      <x:c r="B24" s="11" t="str">
        <x:v>CTR-N40192-23-D-2803</x:v>
      </x:c>
      <x:c r="C24" s="11" t="str">
        <x:v>FAR</x:v>
      </x:c>
      <x:c r="D24" s="11" t="str">
        <x:v>52.210-1</x:v>
      </x:c>
      <x:c r="E24" s="11" t="str">
        <x:v>Market Research</x:v>
      </x:c>
      <x:c r="F24" s="11" t="str">
        <x:v>JUN 2020</x:v>
      </x:c>
      <x:c r="G24" s="11" t="str"/>
      <x:c r="H24" s="11" t="str"/>
      <x:c r="I24" s="11" t="str">
        <x:v>BY REFERENCE</x:v>
      </x:c>
      <x:c r="J24" s="11" t="str">
        <x:v>SF1442 Award_N4019223D2803.pdf</x:v>
      </x:c>
      <x:c r="K24" s="11" t="n">
        <x:v>8</x:v>
      </x:c>
      <x:c r="L24" s="11" t="str">
        <x:v>52.210-1 Market Research JUN 2020</x:v>
      </x:c>
      <x:c r="M24" s="11" t="str">
        <x:v>Extracted</x:v>
      </x:c>
    </x:row>
    <x:row r="25">
      <x:c r="A25" s="11" t="str">
        <x:v>CLS-0022</x:v>
      </x:c>
      <x:c r="B25" s="11" t="str">
        <x:v>CTR-N40192-23-D-2803</x:v>
      </x:c>
      <x:c r="C25" s="11" t="str">
        <x:v>FAR</x:v>
      </x:c>
      <x:c r="D25" s="11" t="str">
        <x:v>52.211-13</x:v>
      </x:c>
      <x:c r="E25" s="11" t="str">
        <x:v>Time Extensions</x:v>
      </x:c>
      <x:c r="F25" s="11" t="str">
        <x:v>SEP 2000</x:v>
      </x:c>
      <x:c r="G25" s="11" t="str"/>
      <x:c r="H25" s="11" t="str"/>
      <x:c r="I25" s="11" t="str">
        <x:v>BY REFERENCE</x:v>
      </x:c>
      <x:c r="J25" s="11" t="str">
        <x:v>SF1442 Award_N4019223D2803.pdf</x:v>
      </x:c>
      <x:c r="K25" s="11" t="n">
        <x:v>8</x:v>
      </x:c>
      <x:c r="L25" s="11" t="str">
        <x:v>52.211-13 Time Extensions SEP 2000</x:v>
      </x:c>
      <x:c r="M25" s="11" t="str">
        <x:v>Extracted</x:v>
      </x:c>
    </x:row>
    <x:row r="26">
      <x:c r="A26" s="11" t="str">
        <x:v>CLS-0023</x:v>
      </x:c>
      <x:c r="B26" s="11" t="str">
        <x:v>CTR-N40192-23-D-2803</x:v>
      </x:c>
      <x:c r="C26" s="11" t="str">
        <x:v>FAR</x:v>
      </x:c>
      <x:c r="D26" s="11" t="str">
        <x:v>52.211-15</x:v>
      </x:c>
      <x:c r="E26" s="11" t="str">
        <x:v>Defense Priority And Allocation Requirements</x:v>
      </x:c>
      <x:c r="F26" s="11" t="str">
        <x:v>APR 2008</x:v>
      </x:c>
      <x:c r="G26" s="11" t="str"/>
      <x:c r="H26" s="11" t="str"/>
      <x:c r="I26" s="11" t="str">
        <x:v>BY REFERENCE</x:v>
      </x:c>
      <x:c r="J26" s="11" t="str">
        <x:v>SF1442 Award_N4019223D2803.pdf</x:v>
      </x:c>
      <x:c r="K26" s="11" t="n">
        <x:v>8</x:v>
      </x:c>
      <x:c r="L26" s="11" t="str">
        <x:v>52.211-15 Defense Priority And Allocation Requirements APR 2008</x:v>
      </x:c>
      <x:c r="M26" s="11" t="str">
        <x:v>Extracted</x:v>
      </x:c>
    </x:row>
    <x:row r="27">
      <x:c r="A27" s="11" t="str">
        <x:v>CLS-0024</x:v>
      </x:c>
      <x:c r="B27" s="11" t="str">
        <x:v>CTR-N40192-23-D-2803</x:v>
      </x:c>
      <x:c r="C27" s="11" t="str">
        <x:v>FAR</x:v>
      </x:c>
      <x:c r="D27" s="11" t="str">
        <x:v>52.211-18</x:v>
      </x:c>
      <x:c r="E27" s="11" t="str">
        <x:v>Variation in Estimated Quantity</x:v>
      </x:c>
      <x:c r="F27" s="11" t="str">
        <x:v>APR 1984</x:v>
      </x:c>
      <x:c r="G27" s="11" t="str"/>
      <x:c r="H27" s="11" t="str"/>
      <x:c r="I27" s="11" t="str">
        <x:v>BY REFERENCE</x:v>
      </x:c>
      <x:c r="J27" s="11" t="str">
        <x:v>SF1442 Award_N4019223D2803.pdf</x:v>
      </x:c>
      <x:c r="K27" s="11" t="n">
        <x:v>8</x:v>
      </x:c>
      <x:c r="L27" s="11" t="str">
        <x:v>52.211-18 Variation in Estimated Quantity APR 1984</x:v>
      </x:c>
      <x:c r="M27" s="11" t="str">
        <x:v>Extracted</x:v>
      </x:c>
    </x:row>
    <x:row r="28">
      <x:c r="A28" s="11" t="str">
        <x:v>CLS-0025</x:v>
      </x:c>
      <x:c r="B28" s="11" t="str">
        <x:v>CTR-N40192-23-D-2803</x:v>
      </x:c>
      <x:c r="C28" s="11" t="str">
        <x:v>FAR</x:v>
      </x:c>
      <x:c r="D28" s="11" t="str">
        <x:v>52.215-2</x:v>
      </x:c>
      <x:c r="E28" s="11" t="str">
        <x:v>Audit and Records--Negotiation</x:v>
      </x:c>
      <x:c r="F28" s="11" t="str">
        <x:v>JUN 2020</x:v>
      </x:c>
      <x:c r="G28" s="11" t="str"/>
      <x:c r="H28" s="11" t="str"/>
      <x:c r="I28" s="11" t="str">
        <x:v>BY REFERENCE</x:v>
      </x:c>
      <x:c r="J28" s="11" t="str">
        <x:v>SF1442 Award_N4019223D2803.pdf</x:v>
      </x:c>
      <x:c r="K28" s="11" t="n">
        <x:v>8</x:v>
      </x:c>
      <x:c r="L28" s="11" t="str">
        <x:v>52.215-2 Audit and Records--Negotiation JUN 2020</x:v>
      </x:c>
      <x:c r="M28" s="11" t="str">
        <x:v>Extracted</x:v>
      </x:c>
    </x:row>
    <x:row r="29">
      <x:c r="A29" s="11" t="str">
        <x:v>CLS-0026</x:v>
      </x:c>
      <x:c r="B29" s="11" t="str">
        <x:v>CTR-N40192-23-D-2803</x:v>
      </x:c>
      <x:c r="C29" s="11" t="str">
        <x:v>FAR</x:v>
      </x:c>
      <x:c r="D29" s="11" t="str">
        <x:v>52.215-17</x:v>
      </x:c>
      <x:c r="E29" s="11" t="str">
        <x:v>Waiver of Facilities Capital Cost of Money</x:v>
      </x:c>
      <x:c r="F29" s="11" t="str">
        <x:v>OCT 1997</x:v>
      </x:c>
      <x:c r="G29" s="11" t="str"/>
      <x:c r="H29" s="11" t="str"/>
      <x:c r="I29" s="11" t="str">
        <x:v>BY REFERENCE</x:v>
      </x:c>
      <x:c r="J29" s="11" t="str">
        <x:v>SF1442 Award_N4019223D2803.pdf</x:v>
      </x:c>
      <x:c r="K29" s="11" t="n">
        <x:v>8</x:v>
      </x:c>
      <x:c r="L29" s="11" t="str">
        <x:v>52.215-17 Waiver of Facilities Capital Cost of Money OCT 1997</x:v>
      </x:c>
      <x:c r="M29" s="11" t="str">
        <x:v>Extracted</x:v>
      </x:c>
    </x:row>
    <x:row r="30">
      <x:c r="A30" s="11" t="str">
        <x:v>CLS-0027</x:v>
      </x:c>
      <x:c r="B30" s="11" t="str">
        <x:v>CTR-N40192-23-D-2803</x:v>
      </x:c>
      <x:c r="C30" s="11" t="str">
        <x:v>FAR</x:v>
      </x:c>
      <x:c r="D30" s="11" t="str">
        <x:v>52.216-24</x:v>
      </x:c>
      <x:c r="E30" s="11" t="str">
        <x:v>Limitation Of Government Liability</x:v>
      </x:c>
      <x:c r="F30" s="11" t="str">
        <x:v>APR 1984</x:v>
      </x:c>
      <x:c r="G30" s="11" t="str"/>
      <x:c r="H30" s="11" t="str"/>
      <x:c r="I30" s="11" t="str">
        <x:v>BY REFERENCE</x:v>
      </x:c>
      <x:c r="J30" s="11" t="str">
        <x:v>SF1442 Award_N4019223D2803.pdf</x:v>
      </x:c>
      <x:c r="K30" s="11" t="n">
        <x:v>9</x:v>
      </x:c>
      <x:c r="L30" s="11" t="str">
        <x:v>52.216-24 Limitation Of Government Liability APR 1984</x:v>
      </x:c>
      <x:c r="M30" s="11" t="str">
        <x:v>Extracted</x:v>
      </x:c>
    </x:row>
    <x:row r="31">
      <x:c r="A31" s="11" t="str">
        <x:v>CLS-0028</x:v>
      </x:c>
      <x:c r="B31" s="11" t="str">
        <x:v>CTR-N40192-23-D-2803</x:v>
      </x:c>
      <x:c r="C31" s="11" t="str">
        <x:v>FAR</x:v>
      </x:c>
      <x:c r="D31" s="11" t="str">
        <x:v>52.219-6</x:v>
      </x:c>
      <x:c r="E31" s="11" t="str">
        <x:v>Notice of Total Small Business Set-Aside (DEVIATION</x:v>
      </x:c>
      <x:c r="F31" s="11" t="str">
        <x:v>OCT 2020</x:v>
      </x:c>
      <x:c r="G31" s="11" t="str"/>
      <x:c r="H31" s="11" t="str">
        <x:v>Yes</x:v>
      </x:c>
      <x:c r="I31" s="11" t="str">
        <x:v>BY REFERENCE</x:v>
      </x:c>
      <x:c r="J31" s="11" t="str">
        <x:v>SF1442 Award_N4019223D2803.pdf</x:v>
      </x:c>
      <x:c r="K31" s="11" t="n">
        <x:v>9</x:v>
      </x:c>
      <x:c r="L31" s="11" t="str">
        <x:v>52.219-6 (Dev) Notice of Total Small Business Set-Aside (DEVIATION OCT 2020</x:v>
      </x:c>
      <x:c r="M31" s="11" t="str">
        <x:v>Extracted</x:v>
      </x:c>
    </x:row>
    <x:row r="32">
      <x:c r="A32" s="11" t="str">
        <x:v>CLS-0029</x:v>
      </x:c>
      <x:c r="B32" s="11" t="str">
        <x:v>CTR-N40192-23-D-2803</x:v>
      </x:c>
      <x:c r="C32" s="11" t="str">
        <x:v>FAR</x:v>
      </x:c>
      <x:c r="D32" s="11" t="str">
        <x:v>52.219-8</x:v>
      </x:c>
      <x:c r="E32" s="11" t="str">
        <x:v>Utilization of Small Business Concerns</x:v>
      </x:c>
      <x:c r="F32" s="11" t="str">
        <x:v>OCT 2018</x:v>
      </x:c>
      <x:c r="G32" s="11" t="str"/>
      <x:c r="H32" s="11" t="str"/>
      <x:c r="I32" s="11" t="str">
        <x:v>BY REFERENCE</x:v>
      </x:c>
      <x:c r="J32" s="11" t="str">
        <x:v>SF1442 Award_N4019223D2803.pdf</x:v>
      </x:c>
      <x:c r="K32" s="11" t="n">
        <x:v>9</x:v>
      </x:c>
      <x:c r="L32" s="11" t="str">
        <x:v>52.219-8 Utilization of Small Business Concerns OCT 2018</x:v>
      </x:c>
      <x:c r="M32" s="11" t="str">
        <x:v>Extracted</x:v>
      </x:c>
    </x:row>
    <x:row r="33">
      <x:c r="A33" s="11" t="str">
        <x:v>CLS-0030</x:v>
      </x:c>
      <x:c r="B33" s="11" t="str">
        <x:v>CTR-N40192-23-D-2803</x:v>
      </x:c>
      <x:c r="C33" s="11" t="str">
        <x:v>FAR</x:v>
      </x:c>
      <x:c r="D33" s="11" t="str">
        <x:v>52.219-28</x:v>
      </x:c>
      <x:c r="E33" s="11" t="str">
        <x:v>Post-Award Small Business Program Rerepresentation</x:v>
      </x:c>
      <x:c r="F33" s="11" t="str">
        <x:v>NOV 2020</x:v>
      </x:c>
      <x:c r="G33" s="11" t="str"/>
      <x:c r="H33" s="11" t="str"/>
      <x:c r="I33" s="11" t="str">
        <x:v>BY REFERENCE</x:v>
      </x:c>
      <x:c r="J33" s="11" t="str">
        <x:v>SF1442 Award_N4019223D2803.pdf</x:v>
      </x:c>
      <x:c r="K33" s="11" t="n">
        <x:v>9</x:v>
      </x:c>
      <x:c r="L33" s="11" t="str">
        <x:v>52.219-28 Post-Award Small Business Program Rerepresentation NOV 2020</x:v>
      </x:c>
      <x:c r="M33" s="11" t="str">
        <x:v>Extracted</x:v>
      </x:c>
    </x:row>
    <x:row r="34">
      <x:c r="A34" s="11" t="str">
        <x:v>CLS-0031</x:v>
      </x:c>
      <x:c r="B34" s="11" t="str">
        <x:v>CTR-N40192-23-D-2803</x:v>
      </x:c>
      <x:c r="C34" s="11" t="str">
        <x:v>FAR</x:v>
      </x:c>
      <x:c r="D34" s="11" t="str">
        <x:v>52.222-1</x:v>
      </x:c>
      <x:c r="E34" s="11" t="str">
        <x:v>Notice To The Government Of Labor Disputes</x:v>
      </x:c>
      <x:c r="F34" s="11" t="str">
        <x:v>FEB 1997</x:v>
      </x:c>
      <x:c r="G34" s="11" t="str"/>
      <x:c r="H34" s="11" t="str"/>
      <x:c r="I34" s="11" t="str">
        <x:v>BY REFERENCE</x:v>
      </x:c>
      <x:c r="J34" s="11" t="str">
        <x:v>SF1442 Award_N4019223D2803.pdf</x:v>
      </x:c>
      <x:c r="K34" s="11" t="n">
        <x:v>9</x:v>
      </x:c>
      <x:c r="L34" s="11" t="str">
        <x:v>52.222-1 Notice To The Government Of Labor Disputes FEB 1997</x:v>
      </x:c>
      <x:c r="M34" s="11" t="str">
        <x:v>Extracted</x:v>
      </x:c>
    </x:row>
    <x:row r="35">
      <x:c r="A35" s="11" t="str">
        <x:v>CLS-0032</x:v>
      </x:c>
      <x:c r="B35" s="11" t="str">
        <x:v>CTR-N40192-23-D-2803</x:v>
      </x:c>
      <x:c r="C35" s="11" t="str">
        <x:v>FAR</x:v>
      </x:c>
      <x:c r="D35" s="11" t="str">
        <x:v>52.222-3</x:v>
      </x:c>
      <x:c r="E35" s="11" t="str">
        <x:v>Convict Labor</x:v>
      </x:c>
      <x:c r="F35" s="11" t="str">
        <x:v>JUN 2003</x:v>
      </x:c>
      <x:c r="G35" s="11" t="str"/>
      <x:c r="H35" s="11" t="str"/>
      <x:c r="I35" s="11" t="str">
        <x:v>BY REFERENCE</x:v>
      </x:c>
      <x:c r="J35" s="11" t="str">
        <x:v>SF1442 Award_N4019223D2803.pdf</x:v>
      </x:c>
      <x:c r="K35" s="11" t="n">
        <x:v>9</x:v>
      </x:c>
      <x:c r="L35" s="11" t="str">
        <x:v>52.222-3 Convict Labor JUN 2003</x:v>
      </x:c>
      <x:c r="M35" s="11" t="str">
        <x:v>Extracted</x:v>
      </x:c>
    </x:row>
    <x:row r="36">
      <x:c r="A36" s="11" t="str">
        <x:v>CLS-0033</x:v>
      </x:c>
      <x:c r="B36" s="11" t="str">
        <x:v>CTR-N40192-23-D-2803</x:v>
      </x:c>
      <x:c r="C36" s="11" t="str">
        <x:v>FAR</x:v>
      </x:c>
      <x:c r="D36" s="11" t="str">
        <x:v>52.222-4</x:v>
      </x:c>
      <x:c r="E36" s="11" t="str">
        <x:v>Contract Work Hours and Safety Standards - Overtime</x:v>
      </x:c>
      <x:c r="F36" s="11" t="str">
        <x:v>MAY 2018</x:v>
      </x:c>
      <x:c r="G36" s="11" t="str"/>
      <x:c r="H36" s="11" t="str"/>
      <x:c r="I36" s="11" t="str">
        <x:v>BY REFERENCE</x:v>
      </x:c>
      <x:c r="J36" s="11" t="str">
        <x:v>SF1442 Award_N4019223D2803.pdf</x:v>
      </x:c>
      <x:c r="K36" s="11" t="n">
        <x:v>9</x:v>
      </x:c>
      <x:c r="L36" s="11" t="str">
        <x:v>52.222-4 Contract Work Hours and Safety Standards - Overtime MAY 2018</x:v>
      </x:c>
      <x:c r="M36" s="11" t="str">
        <x:v>Extracted</x:v>
      </x:c>
    </x:row>
    <x:row r="37">
      <x:c r="A37" s="11" t="str">
        <x:v>CLS-0034</x:v>
      </x:c>
      <x:c r="B37" s="11" t="str">
        <x:v>CTR-N40192-23-D-2803</x:v>
      </x:c>
      <x:c r="C37" s="11" t="str">
        <x:v>FAR</x:v>
      </x:c>
      <x:c r="D37" s="11" t="str">
        <x:v>52.222-7</x:v>
      </x:c>
      <x:c r="E37" s="11" t="str">
        <x:v>Withholding of Funds</x:v>
      </x:c>
      <x:c r="F37" s="11" t="str">
        <x:v>MAY 2014</x:v>
      </x:c>
      <x:c r="G37" s="11" t="str"/>
      <x:c r="H37" s="11" t="str"/>
      <x:c r="I37" s="11" t="str">
        <x:v>BY REFERENCE</x:v>
      </x:c>
      <x:c r="J37" s="11" t="str">
        <x:v>SF1442 Award_N4019223D2803.pdf</x:v>
      </x:c>
      <x:c r="K37" s="11" t="n">
        <x:v>9</x:v>
      </x:c>
      <x:c r="L37" s="11" t="str">
        <x:v>52.222-7 Withholding of Funds MAY 2014</x:v>
      </x:c>
      <x:c r="M37" s="11" t="str">
        <x:v>Extracted</x:v>
      </x:c>
    </x:row>
    <x:row r="38">
      <x:c r="A38" s="11" t="str">
        <x:v>CLS-0035</x:v>
      </x:c>
      <x:c r="B38" s="11" t="str">
        <x:v>CTR-N40192-23-D-2803</x:v>
      </x:c>
      <x:c r="C38" s="11" t="str">
        <x:v>FAR</x:v>
      </x:c>
      <x:c r="D38" s="11" t="str">
        <x:v>52.222-8</x:v>
      </x:c>
      <x:c r="E38" s="11" t="str">
        <x:v>Payrolls and Basic Records</x:v>
      </x:c>
      <x:c r="F38" s="11" t="str">
        <x:v>AUG 2018</x:v>
      </x:c>
      <x:c r="G38" s="11" t="str"/>
      <x:c r="H38" s="11" t="str"/>
      <x:c r="I38" s="11" t="str">
        <x:v>BY REFERENCE</x:v>
      </x:c>
      <x:c r="J38" s="11" t="str">
        <x:v>SF1442 Award_N4019223D2803.pdf</x:v>
      </x:c>
      <x:c r="K38" s="11" t="n">
        <x:v>9</x:v>
      </x:c>
      <x:c r="L38" s="11" t="str">
        <x:v>52.222-8 Payrolls and Basic Records AUG 2018</x:v>
      </x:c>
      <x:c r="M38" s="11" t="str">
        <x:v>Extracted</x:v>
      </x:c>
    </x:row>
    <x:row r="39">
      <x:c r="A39" s="11" t="str">
        <x:v>CLS-0036</x:v>
      </x:c>
      <x:c r="B39" s="11" t="str">
        <x:v>CTR-N40192-23-D-2803</x:v>
      </x:c>
      <x:c r="C39" s="11" t="str">
        <x:v>FAR</x:v>
      </x:c>
      <x:c r="D39" s="11" t="str">
        <x:v>52.222-9</x:v>
      </x:c>
      <x:c r="E39" s="11" t="str">
        <x:v>Apprentices and Trainees</x:v>
      </x:c>
      <x:c r="F39" s="11" t="str">
        <x:v>JUL 2005</x:v>
      </x:c>
      <x:c r="G39" s="11" t="str"/>
      <x:c r="H39" s="11" t="str"/>
      <x:c r="I39" s="11" t="str">
        <x:v>BY REFERENCE</x:v>
      </x:c>
      <x:c r="J39" s="11" t="str">
        <x:v>SF1442 Award_N4019223D2803.pdf</x:v>
      </x:c>
      <x:c r="K39" s="11" t="n">
        <x:v>9</x:v>
      </x:c>
      <x:c r="L39" s="11" t="str">
        <x:v>52.222-9 Apprentices and Trainees JUL 2005</x:v>
      </x:c>
      <x:c r="M39" s="11" t="str">
        <x:v>Extracted</x:v>
      </x:c>
    </x:row>
    <x:row r="40">
      <x:c r="A40" s="11" t="str">
        <x:v>CLS-0037</x:v>
      </x:c>
      <x:c r="B40" s="11" t="str">
        <x:v>CTR-N40192-23-D-2803</x:v>
      </x:c>
      <x:c r="C40" s="11" t="str">
        <x:v>FAR</x:v>
      </x:c>
      <x:c r="D40" s="11" t="str">
        <x:v>52.222-10</x:v>
      </x:c>
      <x:c r="E40" s="11" t="str">
        <x:v>Compliance with Copeland Act Requirements</x:v>
      </x:c>
      <x:c r="F40" s="11" t="str">
        <x:v>FEB 1988</x:v>
      </x:c>
      <x:c r="G40" s="11" t="str"/>
      <x:c r="H40" s="11" t="str"/>
      <x:c r="I40" s="11" t="str">
        <x:v>BY REFERENCE</x:v>
      </x:c>
      <x:c r="J40" s="11" t="str">
        <x:v>SF1442 Award_N4019223D2803.pdf</x:v>
      </x:c>
      <x:c r="K40" s="11" t="n">
        <x:v>9</x:v>
      </x:c>
      <x:c r="L40" s="11" t="str">
        <x:v>52.222-10 Compliance with Copeland Act Requirements FEB 1988</x:v>
      </x:c>
      <x:c r="M40" s="11" t="str">
        <x:v>Extracted</x:v>
      </x:c>
    </x:row>
    <x:row r="41">
      <x:c r="A41" s="11" t="str">
        <x:v>CLS-0038</x:v>
      </x:c>
      <x:c r="B41" s="11" t="str">
        <x:v>CTR-N40192-23-D-2803</x:v>
      </x:c>
      <x:c r="C41" s="11" t="str">
        <x:v>FAR</x:v>
      </x:c>
      <x:c r="D41" s="11" t="str">
        <x:v>52.222-11</x:v>
      </x:c>
      <x:c r="E41" s="11" t="str">
        <x:v>Subcontracts (Labor Standards)</x:v>
      </x:c>
      <x:c r="F41" s="11" t="str">
        <x:v>MAY 2014</x:v>
      </x:c>
      <x:c r="G41" s="11" t="str"/>
      <x:c r="H41" s="11" t="str"/>
      <x:c r="I41" s="11" t="str">
        <x:v>BY REFERENCE</x:v>
      </x:c>
      <x:c r="J41" s="11" t="str">
        <x:v>SF1442 Award_N4019223D2803.pdf</x:v>
      </x:c>
      <x:c r="K41" s="11" t="n">
        <x:v>9</x:v>
      </x:c>
      <x:c r="L41" s="11" t="str">
        <x:v>52.222-11 Subcontracts (Labor Standards) MAY 2014</x:v>
      </x:c>
      <x:c r="M41" s="11" t="str">
        <x:v>Extracted</x:v>
      </x:c>
    </x:row>
    <x:row r="42">
      <x:c r="A42" s="11" t="str">
        <x:v>CLS-0039</x:v>
      </x:c>
      <x:c r="B42" s="11" t="str">
        <x:v>CTR-N40192-23-D-2803</x:v>
      </x:c>
      <x:c r="C42" s="11" t="str">
        <x:v>FAR</x:v>
      </x:c>
      <x:c r="D42" s="11" t="str">
        <x:v>52.222-12</x:v>
      </x:c>
      <x:c r="E42" s="11" t="str">
        <x:v>Contract Termination-Debarment</x:v>
      </x:c>
      <x:c r="F42" s="11" t="str">
        <x:v>MAY 2014</x:v>
      </x:c>
      <x:c r="G42" s="11" t="str"/>
      <x:c r="H42" s="11" t="str"/>
      <x:c r="I42" s="11" t="str">
        <x:v>BY REFERENCE</x:v>
      </x:c>
      <x:c r="J42" s="11" t="str">
        <x:v>SF1442 Award_N4019223D2803.pdf</x:v>
      </x:c>
      <x:c r="K42" s="11" t="n">
        <x:v>9</x:v>
      </x:c>
      <x:c r="L42" s="11" t="str">
        <x:v>52.222-12 Contract Termination-Debarment MAY 2014</x:v>
      </x:c>
      <x:c r="M42" s="11" t="str">
        <x:v>Extracted</x:v>
      </x:c>
    </x:row>
    <x:row r="43">
      <x:c r="A43" s="11" t="str">
        <x:v>CLS-0040</x:v>
      </x:c>
      <x:c r="B43" s="11" t="str">
        <x:v>CTR-N40192-23-D-2803</x:v>
      </x:c>
      <x:c r="C43" s="11" t="str">
        <x:v>FAR</x:v>
      </x:c>
      <x:c r="D43" s="11" t="str">
        <x:v>52.222-14</x:v>
      </x:c>
      <x:c r="E43" s="11" t="str">
        <x:v>Disputes Concerning Labor Standards</x:v>
      </x:c>
      <x:c r="F43" s="11" t="str">
        <x:v>FEB 1988</x:v>
      </x:c>
      <x:c r="G43" s="11" t="str"/>
      <x:c r="H43" s="11" t="str"/>
      <x:c r="I43" s="11" t="str">
        <x:v>BY REFERENCE</x:v>
      </x:c>
      <x:c r="J43" s="11" t="str">
        <x:v>SF1442 Award_N4019223D2803.pdf</x:v>
      </x:c>
      <x:c r="K43" s="11" t="n">
        <x:v>9</x:v>
      </x:c>
      <x:c r="L43" s="11" t="str">
        <x:v>52.222-14 Disputes Concerning Labor Standards FEB 1988</x:v>
      </x:c>
      <x:c r="M43" s="11" t="str">
        <x:v>Extracted</x:v>
      </x:c>
    </x:row>
    <x:row r="44">
      <x:c r="A44" s="11" t="str">
        <x:v>CLS-0041</x:v>
      </x:c>
      <x:c r="B44" s="11" t="str">
        <x:v>CTR-N40192-23-D-2803</x:v>
      </x:c>
      <x:c r="C44" s="11" t="str">
        <x:v>FAR</x:v>
      </x:c>
      <x:c r="D44" s="11" t="str">
        <x:v>52.222-15</x:v>
      </x:c>
      <x:c r="E44" s="11" t="str">
        <x:v>Certification of Eligibility</x:v>
      </x:c>
      <x:c r="F44" s="11" t="str">
        <x:v>MAY 2014</x:v>
      </x:c>
      <x:c r="G44" s="11" t="str"/>
      <x:c r="H44" s="11" t="str"/>
      <x:c r="I44" s="11" t="str">
        <x:v>BY REFERENCE</x:v>
      </x:c>
      <x:c r="J44" s="11" t="str">
        <x:v>SF1442 Award_N4019223D2803.pdf</x:v>
      </x:c>
      <x:c r="K44" s="11" t="n">
        <x:v>9</x:v>
      </x:c>
      <x:c r="L44" s="11" t="str">
        <x:v>52.222-15 Certification of Eligibility MAY 2014</x:v>
      </x:c>
      <x:c r="M44" s="11" t="str">
        <x:v>Extracted</x:v>
      </x:c>
    </x:row>
    <x:row r="45">
      <x:c r="A45" s="11" t="str">
        <x:v>CLS-0042</x:v>
      </x:c>
      <x:c r="B45" s="11" t="str">
        <x:v>CTR-N40192-23-D-2803</x:v>
      </x:c>
      <x:c r="C45" s="11" t="str">
        <x:v>FAR</x:v>
      </x:c>
      <x:c r="D45" s="11" t="str">
        <x:v>52.222-21</x:v>
      </x:c>
      <x:c r="E45" s="11" t="str">
        <x:v>Prohibition Of Segregated Facilities</x:v>
      </x:c>
      <x:c r="F45" s="11" t="str">
        <x:v>APR 2015</x:v>
      </x:c>
      <x:c r="G45" s="11" t="str"/>
      <x:c r="H45" s="11" t="str"/>
      <x:c r="I45" s="11" t="str">
        <x:v>BY REFERENCE</x:v>
      </x:c>
      <x:c r="J45" s="11" t="str">
        <x:v>SF1442 Award_N4019223D2803.pdf</x:v>
      </x:c>
      <x:c r="K45" s="11" t="n">
        <x:v>9</x:v>
      </x:c>
      <x:c r="L45" s="11" t="str">
        <x:v>52.222-21 Prohibition Of Segregated Facilities APR 2015</x:v>
      </x:c>
      <x:c r="M45" s="11" t="str">
        <x:v>Extracted</x:v>
      </x:c>
    </x:row>
    <x:row r="46">
      <x:c r="A46" s="11" t="str">
        <x:v>CLS-0043</x:v>
      </x:c>
      <x:c r="B46" s="11" t="str">
        <x:v>CTR-N40192-23-D-2803</x:v>
      </x:c>
      <x:c r="C46" s="11" t="str">
        <x:v>FAR</x:v>
      </x:c>
      <x:c r="D46" s="11" t="str">
        <x:v>52.222-26</x:v>
      </x:c>
      <x:c r="E46" s="11" t="str">
        <x:v>Equal Opportunity</x:v>
      </x:c>
      <x:c r="F46" s="11" t="str">
        <x:v>SEP 2016</x:v>
      </x:c>
      <x:c r="G46" s="11" t="str"/>
      <x:c r="H46" s="11" t="str"/>
      <x:c r="I46" s="11" t="str">
        <x:v>BY REFERENCE</x:v>
      </x:c>
      <x:c r="J46" s="11" t="str">
        <x:v>SF1442 Award_N4019223D2803.pdf</x:v>
      </x:c>
      <x:c r="K46" s="11" t="n">
        <x:v>9</x:v>
      </x:c>
      <x:c r="L46" s="11" t="str">
        <x:v>52.222-26 Equal Opportunity SEP 2016</x:v>
      </x:c>
      <x:c r="M46" s="11" t="str">
        <x:v>Extracted</x:v>
      </x:c>
    </x:row>
    <x:row r="47">
      <x:c r="A47" s="11" t="str">
        <x:v>CLS-0044</x:v>
      </x:c>
      <x:c r="B47" s="11" t="str">
        <x:v>CTR-N40192-23-D-2803</x:v>
      </x:c>
      <x:c r="C47" s="11" t="str">
        <x:v>FAR</x:v>
      </x:c>
      <x:c r="D47" s="11" t="str">
        <x:v>52.222-27</x:v>
      </x:c>
      <x:c r="E47" s="11" t="str">
        <x:v>Affirmative Action Compliance Requirements for</x:v>
      </x:c>
      <x:c r="F47" s="11" t="str">
        <x:v>APR 2015</x:v>
      </x:c>
      <x:c r="G47" s="11" t="str"/>
      <x:c r="H47" s="11" t="str"/>
      <x:c r="I47" s="11" t="str">
        <x:v>BY REFERENCE</x:v>
      </x:c>
      <x:c r="J47" s="11" t="str">
        <x:v>SF1442 Award_N4019223D2803.pdf</x:v>
      </x:c>
      <x:c r="K47" s="11" t="n">
        <x:v>9</x:v>
      </x:c>
      <x:c r="L47" s="11" t="str">
        <x:v>52.222-27 Affirmative Action Compliance Requirements for APR 2015</x:v>
      </x:c>
      <x:c r="M47" s="11" t="str">
        <x:v>Extracted</x:v>
      </x:c>
    </x:row>
    <x:row r="48">
      <x:c r="A48" s="11" t="str">
        <x:v>CLS-0045</x:v>
      </x:c>
      <x:c r="B48" s="11" t="str">
        <x:v>CTR-N40192-23-D-2803</x:v>
      </x:c>
      <x:c r="C48" s="11" t="str">
        <x:v>FAR</x:v>
      </x:c>
      <x:c r="D48" s="11" t="str">
        <x:v>52.222-35</x:v>
      </x:c>
      <x:c r="E48" s="11" t="str">
        <x:v>Equal Opportunity for Veterans</x:v>
      </x:c>
      <x:c r="F48" s="11" t="str">
        <x:v>JUN 2020</x:v>
      </x:c>
      <x:c r="G48" s="11" t="str"/>
      <x:c r="H48" s="11" t="str"/>
      <x:c r="I48" s="11" t="str">
        <x:v>BY REFERENCE</x:v>
      </x:c>
      <x:c r="J48" s="11" t="str">
        <x:v>SF1442 Award_N4019223D2803.pdf</x:v>
      </x:c>
      <x:c r="K48" s="11" t="n">
        <x:v>9</x:v>
      </x:c>
      <x:c r="L48" s="11" t="str">
        <x:v>52.222-35 Equal Opportunity for Veterans JUN 2020</x:v>
      </x:c>
      <x:c r="M48" s="11" t="str">
        <x:v>Extracted</x:v>
      </x:c>
    </x:row>
    <x:row r="49">
      <x:c r="A49" s="11" t="str">
        <x:v>CLS-0046</x:v>
      </x:c>
      <x:c r="B49" s="11" t="str">
        <x:v>CTR-N40192-23-D-2803</x:v>
      </x:c>
      <x:c r="C49" s="11" t="str">
        <x:v>FAR</x:v>
      </x:c>
      <x:c r="D49" s="11" t="str">
        <x:v>52.222-36</x:v>
      </x:c>
      <x:c r="E49" s="11" t="str">
        <x:v>Equal Opportunity for Workers with Disabilities</x:v>
      </x:c>
      <x:c r="F49" s="11" t="str">
        <x:v>JUN 2020</x:v>
      </x:c>
      <x:c r="G49" s="11" t="str"/>
      <x:c r="H49" s="11" t="str"/>
      <x:c r="I49" s="11" t="str">
        <x:v>BY REFERENCE</x:v>
      </x:c>
      <x:c r="J49" s="11" t="str">
        <x:v>SF1442 Award_N4019223D2803.pdf</x:v>
      </x:c>
      <x:c r="K49" s="11" t="n">
        <x:v>9</x:v>
      </x:c>
      <x:c r="L49" s="11" t="str">
        <x:v>52.222-36 Equal Opportunity for Workers with Disabilities JUN 2020</x:v>
      </x:c>
      <x:c r="M49" s="11" t="str">
        <x:v>Extracted</x:v>
      </x:c>
    </x:row>
    <x:row r="50">
      <x:c r="A50" s="11" t="str">
        <x:v>CLS-0047</x:v>
      </x:c>
      <x:c r="B50" s="11" t="str">
        <x:v>CTR-N40192-23-D-2803</x:v>
      </x:c>
      <x:c r="C50" s="11" t="str">
        <x:v>FAR</x:v>
      </x:c>
      <x:c r="D50" s="11" t="str">
        <x:v>52.222-37</x:v>
      </x:c>
      <x:c r="E50" s="11" t="str">
        <x:v>Employment Reports on Veterans</x:v>
      </x:c>
      <x:c r="F50" s="11" t="str">
        <x:v>JUN 2020</x:v>
      </x:c>
      <x:c r="G50" s="11" t="str"/>
      <x:c r="H50" s="11" t="str"/>
      <x:c r="I50" s="11" t="str">
        <x:v>BY REFERENCE</x:v>
      </x:c>
      <x:c r="J50" s="11" t="str">
        <x:v>SF1442 Award_N4019223D2803.pdf</x:v>
      </x:c>
      <x:c r="K50" s="11" t="n">
        <x:v>9</x:v>
      </x:c>
      <x:c r="L50" s="11" t="str">
        <x:v>52.222-37 Employment Reports on Veterans JUN 2020</x:v>
      </x:c>
      <x:c r="M50" s="11" t="str">
        <x:v>Extracted</x:v>
      </x:c>
    </x:row>
    <x:row r="51">
      <x:c r="A51" s="11" t="str">
        <x:v>CLS-0048</x:v>
      </x:c>
      <x:c r="B51" s="11" t="str">
        <x:v>CTR-N40192-23-D-2803</x:v>
      </x:c>
      <x:c r="C51" s="11" t="str">
        <x:v>FAR</x:v>
      </x:c>
      <x:c r="D51" s="11" t="str">
        <x:v>52.222-50</x:v>
      </x:c>
      <x:c r="E51" s="11" t="str">
        <x:v>Combating Trafficking in Persons</x:v>
      </x:c>
      <x:c r="F51" s="11" t="str">
        <x:v>OCT 2020</x:v>
      </x:c>
      <x:c r="G51" s="11" t="str"/>
      <x:c r="H51" s="11" t="str"/>
      <x:c r="I51" s="11" t="str">
        <x:v>BY REFERENCE</x:v>
      </x:c>
      <x:c r="J51" s="11" t="str">
        <x:v>SF1442 Award_N4019223D2803.pdf</x:v>
      </x:c>
      <x:c r="K51" s="11" t="n">
        <x:v>9</x:v>
      </x:c>
      <x:c r="L51" s="11" t="str">
        <x:v>52.222-50 Combating Trafficking in Persons OCT 2020</x:v>
      </x:c>
      <x:c r="M51" s="11" t="str">
        <x:v>Extracted</x:v>
      </x:c>
    </x:row>
    <x:row r="52">
      <x:c r="A52" s="11" t="str">
        <x:v>CLS-0049</x:v>
      </x:c>
      <x:c r="B52" s="11" t="str">
        <x:v>CTR-N40192-23-D-2803</x:v>
      </x:c>
      <x:c r="C52" s="11" t="str">
        <x:v>FAR</x:v>
      </x:c>
      <x:c r="D52" s="11" t="str">
        <x:v>52.222-54</x:v>
      </x:c>
      <x:c r="E52" s="11" t="str">
        <x:v>Employment Eligibility Verification</x:v>
      </x:c>
      <x:c r="F52" s="11" t="str">
        <x:v>OCT 2015</x:v>
      </x:c>
      <x:c r="G52" s="11" t="str"/>
      <x:c r="H52" s="11" t="str"/>
      <x:c r="I52" s="11" t="str">
        <x:v>BY REFERENCE</x:v>
      </x:c>
      <x:c r="J52" s="11" t="str">
        <x:v>SF1442 Award_N4019223D2803.pdf</x:v>
      </x:c>
      <x:c r="K52" s="11" t="n">
        <x:v>9</x:v>
      </x:c>
      <x:c r="L52" s="11" t="str">
        <x:v>52.222-54 Employment Eligibility Verification OCT 2015</x:v>
      </x:c>
      <x:c r="M52" s="11" t="str">
        <x:v>Extracted</x:v>
      </x:c>
    </x:row>
    <x:row r="53">
      <x:c r="A53" s="11" t="str">
        <x:v>CLS-0050</x:v>
      </x:c>
      <x:c r="B53" s="11" t="str">
        <x:v>CTR-N40192-23-D-2803</x:v>
      </x:c>
      <x:c r="C53" s="11" t="str">
        <x:v>FAR</x:v>
      </x:c>
      <x:c r="D53" s="11" t="str">
        <x:v>52.223-5</x:v>
      </x:c>
      <x:c r="E53" s="11" t="str">
        <x:v>Pollution Prevention and Right-to-Know Information</x:v>
      </x:c>
      <x:c r="F53" s="11" t="str">
        <x:v>MAY 2011</x:v>
      </x:c>
      <x:c r="G53" s="11" t="str"/>
      <x:c r="H53" s="11" t="str"/>
      <x:c r="I53" s="11" t="str">
        <x:v>BY REFERENCE</x:v>
      </x:c>
      <x:c r="J53" s="11" t="str">
        <x:v>SF1442 Award_N4019223D2803.pdf</x:v>
      </x:c>
      <x:c r="K53" s="11" t="n">
        <x:v>9</x:v>
      </x:c>
      <x:c r="L53" s="11" t="str">
        <x:v>52.223-5 Pollution Prevention and Right-to-Know Information MAY 2011</x:v>
      </x:c>
      <x:c r="M53" s="11" t="str">
        <x:v>Extracted</x:v>
      </x:c>
    </x:row>
    <x:row r="54">
      <x:c r="A54" s="11" t="str">
        <x:v>CLS-0051</x:v>
      </x:c>
      <x:c r="B54" s="11" t="str">
        <x:v>CTR-N40192-23-D-2803</x:v>
      </x:c>
      <x:c r="C54" s="11" t="str">
        <x:v>FAR</x:v>
      </x:c>
      <x:c r="D54" s="11" t="str">
        <x:v>52.223-6</x:v>
      </x:c>
      <x:c r="E54" s="11" t="str">
        <x:v>Drug-Free Workplace</x:v>
      </x:c>
      <x:c r="F54" s="11" t="str">
        <x:v>MAY 2001</x:v>
      </x:c>
      <x:c r="G54" s="11" t="str"/>
      <x:c r="H54" s="11" t="str"/>
      <x:c r="I54" s="11" t="str">
        <x:v>BY REFERENCE</x:v>
      </x:c>
      <x:c r="J54" s="11" t="str">
        <x:v>SF1442 Award_N4019223D2803.pdf</x:v>
      </x:c>
      <x:c r="K54" s="11" t="n">
        <x:v>9</x:v>
      </x:c>
      <x:c r="L54" s="11" t="str">
        <x:v>52.223-6 Drug-Free Workplace MAY 2001</x:v>
      </x:c>
      <x:c r="M54" s="11" t="str">
        <x:v>Extracted</x:v>
      </x:c>
    </x:row>
    <x:row r="55">
      <x:c r="A55" s="11" t="str">
        <x:v>CLS-0052</x:v>
      </x:c>
      <x:c r="B55" s="11" t="str">
        <x:v>CTR-N40192-23-D-2803</x:v>
      </x:c>
      <x:c r="C55" s="11" t="str">
        <x:v>FAR</x:v>
      </x:c>
      <x:c r="D55" s="11" t="str">
        <x:v>52.223-15</x:v>
      </x:c>
      <x:c r="E55" s="11" t="str">
        <x:v>Energy Efficiency in Energy-Consuming Products</x:v>
      </x:c>
      <x:c r="F55" s="11" t="str">
        <x:v>MAY 2020</x:v>
      </x:c>
      <x:c r="G55" s="11" t="str"/>
      <x:c r="H55" s="11" t="str"/>
      <x:c r="I55" s="11" t="str">
        <x:v>BY REFERENCE</x:v>
      </x:c>
      <x:c r="J55" s="11" t="str">
        <x:v>SF1442 Award_N4019223D2803.pdf</x:v>
      </x:c>
      <x:c r="K55" s="11" t="n">
        <x:v>9</x:v>
      </x:c>
      <x:c r="L55" s="11" t="str">
        <x:v>52.223-15 Energy Efficiency in Energy-Consuming Products MAY 2020</x:v>
      </x:c>
      <x:c r="M55" s="11" t="str">
        <x:v>Extracted</x:v>
      </x:c>
    </x:row>
    <x:row r="56">
      <x:c r="A56" s="11" t="str">
        <x:v>CLS-0053</x:v>
      </x:c>
      <x:c r="B56" s="11" t="str">
        <x:v>CTR-N40192-23-D-2803</x:v>
      </x:c>
      <x:c r="C56" s="11" t="str">
        <x:v>FAR</x:v>
      </x:c>
      <x:c r="D56" s="11" t="str">
        <x:v>52.223-18</x:v>
      </x:c>
      <x:c r="E56" s="11" t="str">
        <x:v>Encouraging Contractor Policies To Ban Text Messaging</x:v>
      </x:c>
      <x:c r="F56" s="11" t="str">
        <x:v>JUN 2020</x:v>
      </x:c>
      <x:c r="G56" s="11" t="str"/>
      <x:c r="H56" s="11" t="str"/>
      <x:c r="I56" s="11" t="str">
        <x:v>BY REFERENCE</x:v>
      </x:c>
      <x:c r="J56" s="11" t="str">
        <x:v>SF1442 Award_N4019223D2803.pdf</x:v>
      </x:c>
      <x:c r="K56" s="11" t="n">
        <x:v>9</x:v>
      </x:c>
      <x:c r="L56" s="11" t="str">
        <x:v>52.223-18 Encouraging Contractor Policies To Ban Text Messaging JUN 2020</x:v>
      </x:c>
      <x:c r="M56" s="11" t="str">
        <x:v>Extracted</x:v>
      </x:c>
    </x:row>
    <x:row r="57">
      <x:c r="A57" s="11" t="str">
        <x:v>CLS-0054</x:v>
      </x:c>
      <x:c r="B57" s="11" t="str">
        <x:v>CTR-N40192-23-D-2803</x:v>
      </x:c>
      <x:c r="C57" s="11" t="str">
        <x:v>FAR</x:v>
      </x:c>
      <x:c r="D57" s="11" t="str">
        <x:v>52.223-19</x:v>
      </x:c>
      <x:c r="E57" s="11" t="str">
        <x:v>Compliance with Environmental Management Systems</x:v>
      </x:c>
      <x:c r="F57" s="11" t="str">
        <x:v>MAY 2011</x:v>
      </x:c>
      <x:c r="G57" s="11" t="str"/>
      <x:c r="H57" s="11" t="str"/>
      <x:c r="I57" s="11" t="str">
        <x:v>BY REFERENCE</x:v>
      </x:c>
      <x:c r="J57" s="11" t="str">
        <x:v>SF1442 Award_N4019223D2803.pdf</x:v>
      </x:c>
      <x:c r="K57" s="11" t="n">
        <x:v>9</x:v>
      </x:c>
      <x:c r="L57" s="11" t="str">
        <x:v>52.223-19 Compliance with Environmental Management Systems MAY 2011</x:v>
      </x:c>
      <x:c r="M57" s="11" t="str">
        <x:v>Extracted</x:v>
      </x:c>
    </x:row>
    <x:row r="58">
      <x:c r="A58" s="11" t="str">
        <x:v>CLS-0055</x:v>
      </x:c>
      <x:c r="B58" s="11" t="str">
        <x:v>CTR-N40192-23-D-2803</x:v>
      </x:c>
      <x:c r="C58" s="11" t="str">
        <x:v>FAR</x:v>
      </x:c>
      <x:c r="D58" s="11" t="str">
        <x:v>52.223-20</x:v>
      </x:c>
      <x:c r="E58" s="11" t="str">
        <x:v>Aerosols</x:v>
      </x:c>
      <x:c r="F58" s="11" t="str">
        <x:v>JUN 2016</x:v>
      </x:c>
      <x:c r="G58" s="11" t="str"/>
      <x:c r="H58" s="11" t="str"/>
      <x:c r="I58" s="11" t="str">
        <x:v>BY REFERENCE</x:v>
      </x:c>
      <x:c r="J58" s="11" t="str">
        <x:v>SF1442 Award_N4019223D2803.pdf</x:v>
      </x:c>
      <x:c r="K58" s="11" t="n">
        <x:v>9</x:v>
      </x:c>
      <x:c r="L58" s="11" t="str">
        <x:v>52.223-20 Aerosols JUN 2016</x:v>
      </x:c>
      <x:c r="M58" s="11" t="str">
        <x:v>Extracted</x:v>
      </x:c>
    </x:row>
    <x:row r="59">
      <x:c r="A59" s="11" t="str">
        <x:v>CLS-0056</x:v>
      </x:c>
      <x:c r="B59" s="11" t="str">
        <x:v>CTR-N40192-23-D-2803</x:v>
      </x:c>
      <x:c r="C59" s="11" t="str">
        <x:v>FAR</x:v>
      </x:c>
      <x:c r="D59" s="11" t="str">
        <x:v>52.223-21</x:v>
      </x:c>
      <x:c r="E59" s="11" t="str">
        <x:v>Foams</x:v>
      </x:c>
      <x:c r="F59" s="11" t="str">
        <x:v>JUN 2016</x:v>
      </x:c>
      <x:c r="G59" s="11" t="str"/>
      <x:c r="H59" s="11" t="str"/>
      <x:c r="I59" s="11" t="str">
        <x:v>BY REFERENCE</x:v>
      </x:c>
      <x:c r="J59" s="11" t="str">
        <x:v>SF1442 Award_N4019223D2803.pdf</x:v>
      </x:c>
      <x:c r="K59" s="11" t="n">
        <x:v>9</x:v>
      </x:c>
      <x:c r="L59" s="11" t="str">
        <x:v>52.223-21 Foams JUN 2016</x:v>
      </x:c>
      <x:c r="M59" s="11" t="str">
        <x:v>Extracted</x:v>
      </x:c>
    </x:row>
    <x:row r="60">
      <x:c r="A60" s="11" t="str">
        <x:v>CLS-0057</x:v>
      </x:c>
      <x:c r="B60" s="11" t="str">
        <x:v>CTR-N40192-23-D-2803</x:v>
      </x:c>
      <x:c r="C60" s="11" t="str">
        <x:v>FAR</x:v>
      </x:c>
      <x:c r="D60" s="11" t="str">
        <x:v>52.225-13</x:v>
      </x:c>
      <x:c r="E60" s="11" t="str">
        <x:v>Restrictions on Certain Foreign Purchases</x:v>
      </x:c>
      <x:c r="F60" s="11" t="str">
        <x:v>FEB 2021</x:v>
      </x:c>
      <x:c r="G60" s="11" t="str"/>
      <x:c r="H60" s="11" t="str"/>
      <x:c r="I60" s="11" t="str">
        <x:v>BY REFERENCE</x:v>
      </x:c>
      <x:c r="J60" s="11" t="str">
        <x:v>SF1442 Award_N4019223D2803.pdf</x:v>
      </x:c>
      <x:c r="K60" s="11" t="n">
        <x:v>9</x:v>
      </x:c>
      <x:c r="L60" s="11" t="str">
        <x:v>52.225-13 Restrictions on Certain Foreign Purchases FEB 2021</x:v>
      </x:c>
      <x:c r="M60" s="11" t="str">
        <x:v>Extracted</x:v>
      </x:c>
    </x:row>
    <x:row r="61">
      <x:c r="A61" s="11" t="str">
        <x:v>CLS-0058</x:v>
      </x:c>
      <x:c r="B61" s="11" t="str">
        <x:v>CTR-N40192-23-D-2803</x:v>
      </x:c>
      <x:c r="C61" s="11" t="str">
        <x:v>FAR</x:v>
      </x:c>
      <x:c r="D61" s="11" t="str">
        <x:v>52.227-1</x:v>
      </x:c>
      <x:c r="E61" s="11" t="str">
        <x:v>Authorization and Consent</x:v>
      </x:c>
      <x:c r="F61" s="11" t="str">
        <x:v>JUN 2020</x:v>
      </x:c>
      <x:c r="G61" s="11" t="str"/>
      <x:c r="H61" s="11" t="str"/>
      <x:c r="I61" s="11" t="str">
        <x:v>BY REFERENCE</x:v>
      </x:c>
      <x:c r="J61" s="11" t="str">
        <x:v>SF1442 Award_N4019223D2803.pdf</x:v>
      </x:c>
      <x:c r="K61" s="11" t="n">
        <x:v>9</x:v>
      </x:c>
      <x:c r="L61" s="11" t="str">
        <x:v>52.227-1 Authorization and Consent JUN 2020</x:v>
      </x:c>
      <x:c r="M61" s="11" t="str">
        <x:v>Extracted</x:v>
      </x:c>
    </x:row>
    <x:row r="62">
      <x:c r="A62" s="11" t="str">
        <x:v>CLS-0059</x:v>
      </x:c>
      <x:c r="B62" s="11" t="str">
        <x:v>CTR-N40192-23-D-2803</x:v>
      </x:c>
      <x:c r="C62" s="11" t="str">
        <x:v>FAR</x:v>
      </x:c>
      <x:c r="D62" s="11" t="str">
        <x:v>52.227-2</x:v>
      </x:c>
      <x:c r="E62" s="11" t="str">
        <x:v>Notice And Assistance Regarding Patent And Copyright</x:v>
      </x:c>
      <x:c r="F62" s="11" t="str">
        <x:v>JUN 2020</x:v>
      </x:c>
      <x:c r="G62" s="11" t="str"/>
      <x:c r="H62" s="11" t="str"/>
      <x:c r="I62" s="11" t="str">
        <x:v>BY REFERENCE</x:v>
      </x:c>
      <x:c r="J62" s="11" t="str">
        <x:v>SF1442 Award_N4019223D2803.pdf</x:v>
      </x:c>
      <x:c r="K62" s="11" t="n">
        <x:v>9</x:v>
      </x:c>
      <x:c r="L62" s="11" t="str">
        <x:v>52.227-2 Notice And Assistance Regarding Patent And Copyright JUN 2020</x:v>
      </x:c>
      <x:c r="M62" s="11" t="str">
        <x:v>Extracted</x:v>
      </x:c>
    </x:row>
    <x:row r="63">
      <x:c r="A63" s="11" t="str">
        <x:v>CLS-0060</x:v>
      </x:c>
      <x:c r="B63" s="11" t="str">
        <x:v>CTR-N40192-23-D-2803</x:v>
      </x:c>
      <x:c r="C63" s="11" t="str">
        <x:v>FAR</x:v>
      </x:c>
      <x:c r="D63" s="11" t="str">
        <x:v>52.227-4</x:v>
      </x:c>
      <x:c r="E63" s="11" t="str">
        <x:v>Patent Indemnity-Construction Contracts</x:v>
      </x:c>
      <x:c r="F63" s="11" t="str">
        <x:v>DEC 2007</x:v>
      </x:c>
      <x:c r="G63" s="11" t="str"/>
      <x:c r="H63" s="11" t="str"/>
      <x:c r="I63" s="11" t="str">
        <x:v>BY REFERENCE</x:v>
      </x:c>
      <x:c r="J63" s="11" t="str">
        <x:v>SF1442 Award_N4019223D2803.pdf</x:v>
      </x:c>
      <x:c r="K63" s="11" t="n">
        <x:v>9</x:v>
      </x:c>
      <x:c r="L63" s="11" t="str">
        <x:v>52.227-4 Patent Indemnity-Construction Contracts DEC 2007</x:v>
      </x:c>
      <x:c r="M63" s="11" t="str">
        <x:v>Extracted</x:v>
      </x:c>
    </x:row>
    <x:row r="64">
      <x:c r="A64" s="11" t="str">
        <x:v>CLS-0061</x:v>
      </x:c>
      <x:c r="B64" s="11" t="str">
        <x:v>CTR-N40192-23-D-2803</x:v>
      </x:c>
      <x:c r="C64" s="11" t="str">
        <x:v>FAR</x:v>
      </x:c>
      <x:c r="D64" s="11" t="str">
        <x:v>52.228-2</x:v>
      </x:c>
      <x:c r="E64" s="11" t="str">
        <x:v>Additional Bond Security</x:v>
      </x:c>
      <x:c r="F64" s="11" t="str">
        <x:v>OCT 1997</x:v>
      </x:c>
      <x:c r="G64" s="11" t="str"/>
      <x:c r="H64" s="11" t="str"/>
      <x:c r="I64" s="11" t="str">
        <x:v>BY REFERENCE</x:v>
      </x:c>
      <x:c r="J64" s="11" t="str">
        <x:v>SF1442 Award_N4019223D2803.pdf</x:v>
      </x:c>
      <x:c r="K64" s="11" t="n">
        <x:v>9</x:v>
      </x:c>
      <x:c r="L64" s="11" t="str">
        <x:v>52.228-2 Additional Bond Security OCT 1997</x:v>
      </x:c>
      <x:c r="M64" s="11" t="str">
        <x:v>Extracted</x:v>
      </x:c>
    </x:row>
    <x:row r="65">
      <x:c r="A65" s="11" t="str">
        <x:v>CLS-0062</x:v>
      </x:c>
      <x:c r="B65" s="11" t="str">
        <x:v>CTR-N40192-23-D-2803</x:v>
      </x:c>
      <x:c r="C65" s="11" t="str">
        <x:v>FAR</x:v>
      </x:c>
      <x:c r="D65" s="11" t="str">
        <x:v>52.228-5</x:v>
      </x:c>
      <x:c r="E65" s="11" t="str">
        <x:v>Insurance - Work On A Government Installation</x:v>
      </x:c>
      <x:c r="F65" s="11" t="str">
        <x:v>JAN 1997</x:v>
      </x:c>
      <x:c r="G65" s="11" t="str"/>
      <x:c r="H65" s="11" t="str"/>
      <x:c r="I65" s="11" t="str">
        <x:v>BY REFERENCE</x:v>
      </x:c>
      <x:c r="J65" s="11" t="str">
        <x:v>SF1442 Award_N4019223D2803.pdf</x:v>
      </x:c>
      <x:c r="K65" s="11" t="n">
        <x:v>9</x:v>
      </x:c>
      <x:c r="L65" s="11" t="str">
        <x:v>52.228-5 Insurance - Work On A Government Installation JAN 1997</x:v>
      </x:c>
      <x:c r="M65" s="11" t="str">
        <x:v>Extracted</x:v>
      </x:c>
    </x:row>
    <x:row r="66">
      <x:c r="A66" s="11" t="str">
        <x:v>CLS-0063</x:v>
      </x:c>
      <x:c r="B66" s="11" t="str">
        <x:v>CTR-N40192-23-D-2803</x:v>
      </x:c>
      <x:c r="C66" s="11" t="str">
        <x:v>FAR</x:v>
      </x:c>
      <x:c r="D66" s="11" t="str">
        <x:v>52.228-11</x:v>
      </x:c>
      <x:c r="E66" s="11" t="str">
        <x:v>Individual Surety--Pledge of Assets (DEVIATION 2020-</x:v>
      </x:c>
      <x:c r="F66" s="11" t="str">
        <x:v>FEB 2021</x:v>
      </x:c>
      <x:c r="G66" s="11" t="str"/>
      <x:c r="H66" s="11" t="str">
        <x:v>Yes</x:v>
      </x:c>
      <x:c r="I66" s="11" t="str">
        <x:v>BY REFERENCE</x:v>
      </x:c>
      <x:c r="J66" s="11" t="str">
        <x:v>SF1442 Award_N4019223D2803.pdf</x:v>
      </x:c>
      <x:c r="K66" s="11" t="n">
        <x:v>9</x:v>
      </x:c>
      <x:c r="L66" s="11" t="str">
        <x:v>52.228-11 (Dev) Individual Surety--Pledge of Assets (DEVIATION 2020- FEB 2021</x:v>
      </x:c>
      <x:c r="M66" s="11" t="str">
        <x:v>Extracted</x:v>
      </x:c>
    </x:row>
    <x:row r="67">
      <x:c r="A67" s="11" t="str">
        <x:v>CLS-0064</x:v>
      </x:c>
      <x:c r="B67" s="11" t="str">
        <x:v>CTR-N40192-23-D-2803</x:v>
      </x:c>
      <x:c r="C67" s="11" t="str">
        <x:v>FAR</x:v>
      </x:c>
      <x:c r="D67" s="11" t="str">
        <x:v>52.228-12</x:v>
      </x:c>
      <x:c r="E67" s="11" t="str">
        <x:v>Prospective Subcontractor Requests for Bonds</x:v>
      </x:c>
      <x:c r="F67" s="11" t="str">
        <x:v>MAY 2014</x:v>
      </x:c>
      <x:c r="G67" s="11" t="str"/>
      <x:c r="H67" s="11" t="str"/>
      <x:c r="I67" s="11" t="str">
        <x:v>BY REFERENCE</x:v>
      </x:c>
      <x:c r="J67" s="11" t="str">
        <x:v>SF1442 Award_N4019223D2803.pdf</x:v>
      </x:c>
      <x:c r="K67" s="11" t="n">
        <x:v>9</x:v>
      </x:c>
      <x:c r="L67" s="11" t="str">
        <x:v>52.228-12 Prospective Subcontractor Requests for Bonds MAY 2014</x:v>
      </x:c>
      <x:c r="M67" s="11" t="str">
        <x:v>Extracted</x:v>
      </x:c>
    </x:row>
    <x:row r="68">
      <x:c r="A68" s="11" t="str">
        <x:v>CLS-0065</x:v>
      </x:c>
      <x:c r="B68" s="11" t="str">
        <x:v>CTR-N40192-23-D-2803</x:v>
      </x:c>
      <x:c r="C68" s="11" t="str">
        <x:v>FAR</x:v>
      </x:c>
      <x:c r="D68" s="11" t="str">
        <x:v>52.228-14</x:v>
      </x:c>
      <x:c r="E68" s="11" t="str">
        <x:v>Irrevocable Letter of Credit</x:v>
      </x:c>
      <x:c r="F68" s="11" t="str">
        <x:v>NOV 2014</x:v>
      </x:c>
      <x:c r="G68" s="11" t="str"/>
      <x:c r="H68" s="11" t="str"/>
      <x:c r="I68" s="11" t="str">
        <x:v>BY REFERENCE</x:v>
      </x:c>
      <x:c r="J68" s="11" t="str">
        <x:v>SF1442 Award_N4019223D2803.pdf</x:v>
      </x:c>
      <x:c r="K68" s="11" t="n">
        <x:v>10</x:v>
      </x:c>
      <x:c r="L68" s="11" t="str">
        <x:v>52.228-14 Irrevocable Letter of Credit NOV 2014</x:v>
      </x:c>
      <x:c r="M68" s="11" t="str">
        <x:v>Extracted</x:v>
      </x:c>
    </x:row>
    <x:row r="69">
      <x:c r="A69" s="11" t="str">
        <x:v>CLS-0066</x:v>
      </x:c>
      <x:c r="B69" s="11" t="str">
        <x:v>CTR-N40192-23-D-2803</x:v>
      </x:c>
      <x:c r="C69" s="11" t="str">
        <x:v>FAR</x:v>
      </x:c>
      <x:c r="D69" s="11" t="str">
        <x:v>52.229-3</x:v>
      </x:c>
      <x:c r="E69" s="11" t="str">
        <x:v>Federal, State And Local Taxes</x:v>
      </x:c>
      <x:c r="F69" s="11" t="str">
        <x:v>FEB 2013</x:v>
      </x:c>
      <x:c r="G69" s="11" t="str"/>
      <x:c r="H69" s="11" t="str"/>
      <x:c r="I69" s="11" t="str">
        <x:v>BY REFERENCE</x:v>
      </x:c>
      <x:c r="J69" s="11" t="str">
        <x:v>SF1442 Award_N4019223D2803.pdf</x:v>
      </x:c>
      <x:c r="K69" s="11" t="n">
        <x:v>10</x:v>
      </x:c>
      <x:c r="L69" s="11" t="str">
        <x:v>52.229-3 Federal, State And Local Taxes FEB 2013</x:v>
      </x:c>
      <x:c r="M69" s="11" t="str">
        <x:v>Extracted</x:v>
      </x:c>
    </x:row>
    <x:row r="70">
      <x:c r="A70" s="11" t="str">
        <x:v>CLS-0067</x:v>
      </x:c>
      <x:c r="B70" s="11" t="str">
        <x:v>CTR-N40192-23-D-2803</x:v>
      </x:c>
      <x:c r="C70" s="11" t="str">
        <x:v>FAR</x:v>
      </x:c>
      <x:c r="D70" s="11" t="str">
        <x:v>52.232-5</x:v>
      </x:c>
      <x:c r="E70" s="11" t="str">
        <x:v>Payments under Fixed-Price Construction Contracts</x:v>
      </x:c>
      <x:c r="F70" s="11" t="str">
        <x:v>MAY 2014</x:v>
      </x:c>
      <x:c r="G70" s="11" t="str"/>
      <x:c r="H70" s="11" t="str"/>
      <x:c r="I70" s="11" t="str">
        <x:v>BY REFERENCE</x:v>
      </x:c>
      <x:c r="J70" s="11" t="str">
        <x:v>SF1442 Award_N4019223D2803.pdf</x:v>
      </x:c>
      <x:c r="K70" s="11" t="n">
        <x:v>10</x:v>
      </x:c>
      <x:c r="L70" s="11" t="str">
        <x:v>52.232-5 Payments under Fixed-Price Construction Contracts MAY 2014</x:v>
      </x:c>
      <x:c r="M70" s="11" t="str">
        <x:v>Extracted</x:v>
      </x:c>
    </x:row>
    <x:row r="71">
      <x:c r="A71" s="11" t="str">
        <x:v>CLS-0068</x:v>
      </x:c>
      <x:c r="B71" s="11" t="str">
        <x:v>CTR-N40192-23-D-2803</x:v>
      </x:c>
      <x:c r="C71" s="11" t="str">
        <x:v>FAR</x:v>
      </x:c>
      <x:c r="D71" s="11" t="str">
        <x:v>52.232-16</x:v>
      </x:c>
      <x:c r="E71" s="11" t="str">
        <x:v>Progress Payments (DEVIATION 2020-O0010)</x:v>
      </x:c>
      <x:c r="F71" s="11" t="str">
        <x:v>JUN 2020</x:v>
      </x:c>
      <x:c r="G71" s="11" t="str"/>
      <x:c r="H71" s="11" t="str">
        <x:v>Yes</x:v>
      </x:c>
      <x:c r="I71" s="11" t="str">
        <x:v>BY REFERENCE</x:v>
      </x:c>
      <x:c r="J71" s="11" t="str">
        <x:v>SF1442 Award_N4019223D2803.pdf</x:v>
      </x:c>
      <x:c r="K71" s="11" t="n">
        <x:v>10</x:v>
      </x:c>
      <x:c r="L71" s="11" t="str">
        <x:v>52.232-16 (Dev) Progress Payments (DEVIATION 2020-O0010) JUN 2020</x:v>
      </x:c>
      <x:c r="M71" s="11" t="str">
        <x:v>Extracted</x:v>
      </x:c>
    </x:row>
    <x:row r="72">
      <x:c r="A72" s="11" t="str">
        <x:v>CLS-0069</x:v>
      </x:c>
      <x:c r="B72" s="11" t="str">
        <x:v>CTR-N40192-23-D-2803</x:v>
      </x:c>
      <x:c r="C72" s="11" t="str">
        <x:v>FAR</x:v>
      </x:c>
      <x:c r="D72" s="11" t="str">
        <x:v>52.232-17</x:v>
      </x:c>
      <x:c r="E72" s="11" t="str">
        <x:v>Interest</x:v>
      </x:c>
      <x:c r="F72" s="11" t="str">
        <x:v>MAY 2014</x:v>
      </x:c>
      <x:c r="G72" s="11" t="str"/>
      <x:c r="H72" s="11" t="str"/>
      <x:c r="I72" s="11" t="str">
        <x:v>BY REFERENCE</x:v>
      </x:c>
      <x:c r="J72" s="11" t="str">
        <x:v>SF1442 Award_N4019223D2803.pdf</x:v>
      </x:c>
      <x:c r="K72" s="11" t="n">
        <x:v>10</x:v>
      </x:c>
      <x:c r="L72" s="11" t="str">
        <x:v>52.232-17 Interest MAY 2014</x:v>
      </x:c>
      <x:c r="M72" s="11" t="str">
        <x:v>Extracted</x:v>
      </x:c>
    </x:row>
    <x:row r="73">
      <x:c r="A73" s="11" t="str">
        <x:v>CLS-0070</x:v>
      </x:c>
      <x:c r="B73" s="11" t="str">
        <x:v>CTR-N40192-23-D-2803</x:v>
      </x:c>
      <x:c r="C73" s="11" t="str">
        <x:v>FAR</x:v>
      </x:c>
      <x:c r="D73" s="11" t="str">
        <x:v>52.232-23</x:v>
      </x:c>
      <x:c r="E73" s="11" t="str">
        <x:v>Assignment of Claims (May 2014) - Alternate I</x:v>
      </x:c>
      <x:c r="F73" s="11" t="str">
        <x:v>APR 1984</x:v>
      </x:c>
      <x:c r="G73" s="11" t="str">
        <x:v>Alt I</x:v>
      </x:c>
      <x:c r="H73" s="11" t="str"/>
      <x:c r="I73" s="11" t="str">
        <x:v>BY REFERENCE</x:v>
      </x:c>
      <x:c r="J73" s="11" t="str">
        <x:v>SF1442 Award_N4019223D2803.pdf</x:v>
      </x:c>
      <x:c r="K73" s="11" t="n">
        <x:v>10</x:v>
      </x:c>
      <x:c r="L73" s="11" t="str">
        <x:v>52.232-23 Alt I Assignment of Claims (May 2014) - Alternate I APR 1984</x:v>
      </x:c>
      <x:c r="M73" s="11" t="str">
        <x:v>Extracted</x:v>
      </x:c>
    </x:row>
    <x:row r="74">
      <x:c r="A74" s="11" t="str">
        <x:v>CLS-0071</x:v>
      </x:c>
      <x:c r="B74" s="11" t="str">
        <x:v>CTR-N40192-23-D-2803</x:v>
      </x:c>
      <x:c r="C74" s="11" t="str">
        <x:v>FAR</x:v>
      </x:c>
      <x:c r="D74" s="11" t="str">
        <x:v>52.232-27</x:v>
      </x:c>
      <x:c r="E74" s="11" t="str">
        <x:v>Prompt Payment for Construction Contracts</x:v>
      </x:c>
      <x:c r="F74" s="11" t="str">
        <x:v>JAN 2017</x:v>
      </x:c>
      <x:c r="G74" s="11" t="str"/>
      <x:c r="H74" s="11" t="str"/>
      <x:c r="I74" s="11" t="str">
        <x:v>BY REFERENCE</x:v>
      </x:c>
      <x:c r="J74" s="11" t="str">
        <x:v>SF1442 Award_N4019223D2803.pdf</x:v>
      </x:c>
      <x:c r="K74" s="11" t="n">
        <x:v>10</x:v>
      </x:c>
      <x:c r="L74" s="11" t="str">
        <x:v>52.232-27 Prompt Payment for Construction Contracts JAN 2017</x:v>
      </x:c>
      <x:c r="M74" s="11" t="str">
        <x:v>Extracted</x:v>
      </x:c>
    </x:row>
    <x:row r="75">
      <x:c r="A75" s="11" t="str">
        <x:v>CLS-0072</x:v>
      </x:c>
      <x:c r="B75" s="11" t="str">
        <x:v>CTR-N40192-23-D-2803</x:v>
      </x:c>
      <x:c r="C75" s="11" t="str">
        <x:v>FAR</x:v>
      </x:c>
      <x:c r="D75" s="11" t="str">
        <x:v>52.232-33</x:v>
      </x:c>
      <x:c r="E75" s="11" t="str">
        <x:v>Payment by Electronic Funds Transfer--System for Award</x:v>
      </x:c>
      <x:c r="F75" s="11" t="str">
        <x:v>OCT 2018</x:v>
      </x:c>
      <x:c r="G75" s="11" t="str"/>
      <x:c r="H75" s="11" t="str"/>
      <x:c r="I75" s="11" t="str">
        <x:v>BY REFERENCE</x:v>
      </x:c>
      <x:c r="J75" s="11" t="str">
        <x:v>SF1442 Award_N4019223D2803.pdf</x:v>
      </x:c>
      <x:c r="K75" s="11" t="n">
        <x:v>10</x:v>
      </x:c>
      <x:c r="L75" s="11" t="str">
        <x:v>52.232-33 Payment by Electronic Funds Transfer--System for Award OCT 2018</x:v>
      </x:c>
      <x:c r="M75" s="11" t="str">
        <x:v>Extracted</x:v>
      </x:c>
    </x:row>
    <x:row r="76">
      <x:c r="A76" s="11" t="str">
        <x:v>CLS-0073</x:v>
      </x:c>
      <x:c r="B76" s="11" t="str">
        <x:v>CTR-N40192-23-D-2803</x:v>
      </x:c>
      <x:c r="C76" s="11" t="str">
        <x:v>FAR</x:v>
      </x:c>
      <x:c r="D76" s="11" t="str">
        <x:v>52.232-39</x:v>
      </x:c>
      <x:c r="E76" s="11" t="str">
        <x:v>Unenforceability of Unauthorized Obligations</x:v>
      </x:c>
      <x:c r="F76" s="11" t="str">
        <x:v>JUN 2013</x:v>
      </x:c>
      <x:c r="G76" s="11" t="str"/>
      <x:c r="H76" s="11" t="str"/>
      <x:c r="I76" s="11" t="str">
        <x:v>BY REFERENCE</x:v>
      </x:c>
      <x:c r="J76" s="11" t="str">
        <x:v>SF1442 Award_N4019223D2803.pdf</x:v>
      </x:c>
      <x:c r="K76" s="11" t="n">
        <x:v>10</x:v>
      </x:c>
      <x:c r="L76" s="11" t="str">
        <x:v>52.232-39 Unenforceability of Unauthorized Obligations JUN 2013</x:v>
      </x:c>
      <x:c r="M76" s="11" t="str">
        <x:v>Extracted</x:v>
      </x:c>
    </x:row>
    <x:row r="77">
      <x:c r="A77" s="11" t="str">
        <x:v>CLS-0074</x:v>
      </x:c>
      <x:c r="B77" s="11" t="str">
        <x:v>CTR-N40192-23-D-2803</x:v>
      </x:c>
      <x:c r="C77" s="11" t="str">
        <x:v>FAR</x:v>
      </x:c>
      <x:c r="D77" s="11" t="str">
        <x:v>52.232-40</x:v>
      </x:c>
      <x:c r="E77" s="11" t="str">
        <x:v>Providing Accelerated Payments to Small Business</x:v>
      </x:c>
      <x:c r="F77" s="11" t="str">
        <x:v>DEC 2013</x:v>
      </x:c>
      <x:c r="G77" s="11" t="str"/>
      <x:c r="H77" s="11" t="str"/>
      <x:c r="I77" s="11" t="str">
        <x:v>BY REFERENCE</x:v>
      </x:c>
      <x:c r="J77" s="11" t="str">
        <x:v>SF1442 Award_N4019223D2803.pdf</x:v>
      </x:c>
      <x:c r="K77" s="11" t="n">
        <x:v>10</x:v>
      </x:c>
      <x:c r="L77" s="11" t="str">
        <x:v>52.232-40 Providing Accelerated Payments to Small Business DEC 2013</x:v>
      </x:c>
      <x:c r="M77" s="11" t="str">
        <x:v>Extracted</x:v>
      </x:c>
    </x:row>
    <x:row r="78">
      <x:c r="A78" s="11" t="str">
        <x:v>CLS-0075</x:v>
      </x:c>
      <x:c r="B78" s="11" t="str">
        <x:v>CTR-N40192-23-D-2803</x:v>
      </x:c>
      <x:c r="C78" s="11" t="str">
        <x:v>FAR</x:v>
      </x:c>
      <x:c r="D78" s="11" t="str">
        <x:v>52.233-1</x:v>
      </x:c>
      <x:c r="E78" s="11" t="str">
        <x:v>Disputes (May 2014) - Alternate I</x:v>
      </x:c>
      <x:c r="F78" s="11" t="str">
        <x:v>DEC 1991</x:v>
      </x:c>
      <x:c r="G78" s="11" t="str">
        <x:v>Alt I</x:v>
      </x:c>
      <x:c r="H78" s="11" t="str"/>
      <x:c r="I78" s="11" t="str">
        <x:v>BY REFERENCE</x:v>
      </x:c>
      <x:c r="J78" s="11" t="str">
        <x:v>SF1442 Award_N4019223D2803.pdf</x:v>
      </x:c>
      <x:c r="K78" s="11" t="n">
        <x:v>10</x:v>
      </x:c>
      <x:c r="L78" s="11" t="str">
        <x:v>52.233-1 Alt I Disputes (May 2014) - Alternate I DEC 1991</x:v>
      </x:c>
      <x:c r="M78" s="11" t="str">
        <x:v>Extracted</x:v>
      </x:c>
    </x:row>
    <x:row r="79">
      <x:c r="A79" s="11" t="str">
        <x:v>CLS-0076</x:v>
      </x:c>
      <x:c r="B79" s="11" t="str">
        <x:v>CTR-N40192-23-D-2803</x:v>
      </x:c>
      <x:c r="C79" s="11" t="str">
        <x:v>FAR</x:v>
      </x:c>
      <x:c r="D79" s="11" t="str">
        <x:v>52.233-3</x:v>
      </x:c>
      <x:c r="E79" s="11" t="str">
        <x:v>Protest After Award</x:v>
      </x:c>
      <x:c r="F79" s="11" t="str">
        <x:v>AUG 1996</x:v>
      </x:c>
      <x:c r="G79" s="11" t="str"/>
      <x:c r="H79" s="11" t="str"/>
      <x:c r="I79" s="11" t="str">
        <x:v>BY REFERENCE</x:v>
      </x:c>
      <x:c r="J79" s="11" t="str">
        <x:v>SF1442 Award_N4019223D2803.pdf</x:v>
      </x:c>
      <x:c r="K79" s="11" t="n">
        <x:v>10</x:v>
      </x:c>
      <x:c r="L79" s="11" t="str">
        <x:v>52.233-3 Protest After Award AUG 1996</x:v>
      </x:c>
      <x:c r="M79" s="11" t="str">
        <x:v>Extracted</x:v>
      </x:c>
    </x:row>
    <x:row r="80">
      <x:c r="A80" s="11" t="str">
        <x:v>CLS-0077</x:v>
      </x:c>
      <x:c r="B80" s="11" t="str">
        <x:v>CTR-N40192-23-D-2803</x:v>
      </x:c>
      <x:c r="C80" s="11" t="str">
        <x:v>FAR</x:v>
      </x:c>
      <x:c r="D80" s="11" t="str">
        <x:v>52.233-4</x:v>
      </x:c>
      <x:c r="E80" s="11" t="str">
        <x:v>Applicable Law for Breach of Contract Claim</x:v>
      </x:c>
      <x:c r="F80" s="11" t="str">
        <x:v>OCT 2004</x:v>
      </x:c>
      <x:c r="G80" s="11" t="str"/>
      <x:c r="H80" s="11" t="str"/>
      <x:c r="I80" s="11" t="str">
        <x:v>BY REFERENCE</x:v>
      </x:c>
      <x:c r="J80" s="11" t="str">
        <x:v>SF1442 Award_N4019223D2803.pdf</x:v>
      </x:c>
      <x:c r="K80" s="11" t="n">
        <x:v>10</x:v>
      </x:c>
      <x:c r="L80" s="11" t="str">
        <x:v>52.233-4 Applicable Law for Breach of Contract Claim OCT 2004</x:v>
      </x:c>
      <x:c r="M80" s="11" t="str">
        <x:v>Extracted</x:v>
      </x:c>
    </x:row>
    <x:row r="81">
      <x:c r="A81" s="11" t="str">
        <x:v>CLS-0078</x:v>
      </x:c>
      <x:c r="B81" s="11" t="str">
        <x:v>CTR-N40192-23-D-2803</x:v>
      </x:c>
      <x:c r="C81" s="11" t="str">
        <x:v>FAR</x:v>
      </x:c>
      <x:c r="D81" s="11" t="str">
        <x:v>52.236-2</x:v>
      </x:c>
      <x:c r="E81" s="11" t="str">
        <x:v>Differing Site Conditions</x:v>
      </x:c>
      <x:c r="F81" s="11" t="str">
        <x:v>APR 1984</x:v>
      </x:c>
      <x:c r="G81" s="11" t="str"/>
      <x:c r="H81" s="11" t="str"/>
      <x:c r="I81" s="11" t="str">
        <x:v>BY REFERENCE</x:v>
      </x:c>
      <x:c r="J81" s="11" t="str">
        <x:v>SF1442 Award_N4019223D2803.pdf</x:v>
      </x:c>
      <x:c r="K81" s="11" t="n">
        <x:v>10</x:v>
      </x:c>
      <x:c r="L81" s="11" t="str">
        <x:v>52.236-2 Differing Site Conditions APR 1984</x:v>
      </x:c>
      <x:c r="M81" s="11" t="str">
        <x:v>Extracted</x:v>
      </x:c>
    </x:row>
    <x:row r="82">
      <x:c r="A82" s="11" t="str">
        <x:v>CLS-0079</x:v>
      </x:c>
      <x:c r="B82" s="11" t="str">
        <x:v>CTR-N40192-23-D-2803</x:v>
      </x:c>
      <x:c r="C82" s="11" t="str">
        <x:v>FAR</x:v>
      </x:c>
      <x:c r="D82" s="11" t="str">
        <x:v>52.236-3</x:v>
      </x:c>
      <x:c r="E82" s="11" t="str">
        <x:v>Site Investigation and Conditions Affecting the Work</x:v>
      </x:c>
      <x:c r="F82" s="11" t="str">
        <x:v>APR 1984</x:v>
      </x:c>
      <x:c r="G82" s="11" t="str"/>
      <x:c r="H82" s="11" t="str"/>
      <x:c r="I82" s="11" t="str">
        <x:v>BY REFERENCE</x:v>
      </x:c>
      <x:c r="J82" s="11" t="str">
        <x:v>SF1442 Award_N4019223D2803.pdf</x:v>
      </x:c>
      <x:c r="K82" s="11" t="n">
        <x:v>10</x:v>
      </x:c>
      <x:c r="L82" s="11" t="str">
        <x:v>52.236-3 Site Investigation and Conditions Affecting the Work APR 1984</x:v>
      </x:c>
      <x:c r="M82" s="11" t="str">
        <x:v>Extracted</x:v>
      </x:c>
    </x:row>
    <x:row r="83">
      <x:c r="A83" s="11" t="str">
        <x:v>CLS-0080</x:v>
      </x:c>
      <x:c r="B83" s="11" t="str">
        <x:v>CTR-N40192-23-D-2803</x:v>
      </x:c>
      <x:c r="C83" s="11" t="str">
        <x:v>FAR</x:v>
      </x:c>
      <x:c r="D83" s="11" t="str">
        <x:v>52.236-4</x:v>
      </x:c>
      <x:c r="E83" s="11" t="str">
        <x:v>Physical Data</x:v>
      </x:c>
      <x:c r="F83" s="11" t="str">
        <x:v>APR 1984</x:v>
      </x:c>
      <x:c r="G83" s="11" t="str"/>
      <x:c r="H83" s="11" t="str"/>
      <x:c r="I83" s="11" t="str">
        <x:v>BY REFERENCE</x:v>
      </x:c>
      <x:c r="J83" s="11" t="str">
        <x:v>SF1442 Award_N4019223D2803.pdf</x:v>
      </x:c>
      <x:c r="K83" s="11" t="n">
        <x:v>10</x:v>
      </x:c>
      <x:c r="L83" s="11" t="str">
        <x:v>52.236-4 Physical Data APR 1984</x:v>
      </x:c>
      <x:c r="M83" s="11" t="str">
        <x:v>Extracted</x:v>
      </x:c>
    </x:row>
    <x:row r="84">
      <x:c r="A84" s="11" t="str">
        <x:v>CLS-0081</x:v>
      </x:c>
      <x:c r="B84" s="11" t="str">
        <x:v>CTR-N40192-23-D-2803</x:v>
      </x:c>
      <x:c r="C84" s="11" t="str">
        <x:v>FAR</x:v>
      </x:c>
      <x:c r="D84" s="11" t="str">
        <x:v>52.236-5</x:v>
      </x:c>
      <x:c r="E84" s="11" t="str">
        <x:v>Material and Workmanship</x:v>
      </x:c>
      <x:c r="F84" s="11" t="str">
        <x:v>APR 1984</x:v>
      </x:c>
      <x:c r="G84" s="11" t="str"/>
      <x:c r="H84" s="11" t="str"/>
      <x:c r="I84" s="11" t="str">
        <x:v>BY REFERENCE</x:v>
      </x:c>
      <x:c r="J84" s="11" t="str">
        <x:v>SF1442 Award_N4019223D2803.pdf</x:v>
      </x:c>
      <x:c r="K84" s="11" t="n">
        <x:v>10</x:v>
      </x:c>
      <x:c r="L84" s="11" t="str">
        <x:v>52.236-5 Material and Workmanship APR 1984</x:v>
      </x:c>
      <x:c r="M84" s="11" t="str">
        <x:v>Extracted</x:v>
      </x:c>
    </x:row>
    <x:row r="85">
      <x:c r="A85" s="11" t="str">
        <x:v>CLS-0082</x:v>
      </x:c>
      <x:c r="B85" s="11" t="str">
        <x:v>CTR-N40192-23-D-2803</x:v>
      </x:c>
      <x:c r="C85" s="11" t="str">
        <x:v>FAR</x:v>
      </x:c>
      <x:c r="D85" s="11" t="str">
        <x:v>52.236-6</x:v>
      </x:c>
      <x:c r="E85" s="11" t="str">
        <x:v>Superintendence by the Contractor</x:v>
      </x:c>
      <x:c r="F85" s="11" t="str">
        <x:v>APR 1984</x:v>
      </x:c>
      <x:c r="G85" s="11" t="str"/>
      <x:c r="H85" s="11" t="str"/>
      <x:c r="I85" s="11" t="str">
        <x:v>BY REFERENCE</x:v>
      </x:c>
      <x:c r="J85" s="11" t="str">
        <x:v>SF1442 Award_N4019223D2803.pdf</x:v>
      </x:c>
      <x:c r="K85" s="11" t="n">
        <x:v>10</x:v>
      </x:c>
      <x:c r="L85" s="11" t="str">
        <x:v>52.236-6 Superintendence by the Contractor APR 1984</x:v>
      </x:c>
      <x:c r="M85" s="11" t="str">
        <x:v>Extracted</x:v>
      </x:c>
    </x:row>
    <x:row r="86">
      <x:c r="A86" s="11" t="str">
        <x:v>CLS-0083</x:v>
      </x:c>
      <x:c r="B86" s="11" t="str">
        <x:v>CTR-N40192-23-D-2803</x:v>
      </x:c>
      <x:c r="C86" s="11" t="str">
        <x:v>FAR</x:v>
      </x:c>
      <x:c r="D86" s="11" t="str">
        <x:v>52.236-7</x:v>
      </x:c>
      <x:c r="E86" s="11" t="str">
        <x:v>Permits and Responsibilities</x:v>
      </x:c>
      <x:c r="F86" s="11" t="str">
        <x:v>NOV 1991</x:v>
      </x:c>
      <x:c r="G86" s="11" t="str"/>
      <x:c r="H86" s="11" t="str"/>
      <x:c r="I86" s="11" t="str">
        <x:v>BY REFERENCE</x:v>
      </x:c>
      <x:c r="J86" s="11" t="str">
        <x:v>SF1442 Award_N4019223D2803.pdf</x:v>
      </x:c>
      <x:c r="K86" s="11" t="n">
        <x:v>10</x:v>
      </x:c>
      <x:c r="L86" s="11" t="str">
        <x:v>52.236-7 Permits and Responsibilities NOV 1991</x:v>
      </x:c>
      <x:c r="M86" s="11" t="str">
        <x:v>Extracted</x:v>
      </x:c>
    </x:row>
    <x:row r="87">
      <x:c r="A87" s="11" t="str">
        <x:v>CLS-0084</x:v>
      </x:c>
      <x:c r="B87" s="11" t="str">
        <x:v>CTR-N40192-23-D-2803</x:v>
      </x:c>
      <x:c r="C87" s="11" t="str">
        <x:v>FAR</x:v>
      </x:c>
      <x:c r="D87" s="11" t="str">
        <x:v>52.236-8</x:v>
      </x:c>
      <x:c r="E87" s="11" t="str">
        <x:v>Other Contracts</x:v>
      </x:c>
      <x:c r="F87" s="11" t="str">
        <x:v>APR 1984</x:v>
      </x:c>
      <x:c r="G87" s="11" t="str"/>
      <x:c r="H87" s="11" t="str"/>
      <x:c r="I87" s="11" t="str">
        <x:v>BY REFERENCE</x:v>
      </x:c>
      <x:c r="J87" s="11" t="str">
        <x:v>SF1442 Award_N4019223D2803.pdf</x:v>
      </x:c>
      <x:c r="K87" s="11" t="n">
        <x:v>10</x:v>
      </x:c>
      <x:c r="L87" s="11" t="str">
        <x:v>52.236-8 Other Contracts APR 1984</x:v>
      </x:c>
      <x:c r="M87" s="11" t="str">
        <x:v>Extracted</x:v>
      </x:c>
    </x:row>
    <x:row r="88">
      <x:c r="A88" s="11" t="str">
        <x:v>CLS-0085</x:v>
      </x:c>
      <x:c r="B88" s="11" t="str">
        <x:v>CTR-N40192-23-D-2803</x:v>
      </x:c>
      <x:c r="C88" s="11" t="str">
        <x:v>FAR</x:v>
      </x:c>
      <x:c r="D88" s="11" t="str">
        <x:v>52.236-9</x:v>
      </x:c>
      <x:c r="E88" s="11" t="str">
        <x:v>Protection of Existing Vegetation, Structures, Equipment,</x:v>
      </x:c>
      <x:c r="F88" s="11" t="str">
        <x:v>APR 1984</x:v>
      </x:c>
      <x:c r="G88" s="11" t="str"/>
      <x:c r="H88" s="11" t="str"/>
      <x:c r="I88" s="11" t="str">
        <x:v>BY REFERENCE</x:v>
      </x:c>
      <x:c r="J88" s="11" t="str">
        <x:v>SF1442 Award_N4019223D2803.pdf</x:v>
      </x:c>
      <x:c r="K88" s="11" t="n">
        <x:v>10</x:v>
      </x:c>
      <x:c r="L88" s="11" t="str">
        <x:v>52.236-9 Protection of Existing Vegetation, Structures, Equipment, APR 1984</x:v>
      </x:c>
      <x:c r="M88" s="11" t="str">
        <x:v>Extracted</x:v>
      </x:c>
    </x:row>
    <x:row r="89">
      <x:c r="A89" s="11" t="str">
        <x:v>CLS-0086</x:v>
      </x:c>
      <x:c r="B89" s="11" t="str">
        <x:v>CTR-N40192-23-D-2803</x:v>
      </x:c>
      <x:c r="C89" s="11" t="str">
        <x:v>FAR</x:v>
      </x:c>
      <x:c r="D89" s="11" t="str">
        <x:v>52.236-10</x:v>
      </x:c>
      <x:c r="E89" s="11" t="str">
        <x:v>Operations and Storage Areas</x:v>
      </x:c>
      <x:c r="F89" s="11" t="str">
        <x:v>APR 1984</x:v>
      </x:c>
      <x:c r="G89" s="11" t="str"/>
      <x:c r="H89" s="11" t="str"/>
      <x:c r="I89" s="11" t="str">
        <x:v>BY REFERENCE</x:v>
      </x:c>
      <x:c r="J89" s="11" t="str">
        <x:v>SF1442 Award_N4019223D2803.pdf</x:v>
      </x:c>
      <x:c r="K89" s="11" t="n">
        <x:v>10</x:v>
      </x:c>
      <x:c r="L89" s="11" t="str">
        <x:v>52.236-10 Operations and Storage Areas APR 1984</x:v>
      </x:c>
      <x:c r="M89" s="11" t="str">
        <x:v>Extracted</x:v>
      </x:c>
    </x:row>
    <x:row r="90">
      <x:c r="A90" s="11" t="str">
        <x:v>CLS-0087</x:v>
      </x:c>
      <x:c r="B90" s="11" t="str">
        <x:v>CTR-N40192-23-D-2803</x:v>
      </x:c>
      <x:c r="C90" s="11" t="str">
        <x:v>FAR</x:v>
      </x:c>
      <x:c r="D90" s="11" t="str">
        <x:v>52.236-11</x:v>
      </x:c>
      <x:c r="E90" s="11" t="str">
        <x:v>Use and Possession Prior to Completion</x:v>
      </x:c>
      <x:c r="F90" s="11" t="str">
        <x:v>APR 1984</x:v>
      </x:c>
      <x:c r="G90" s="11" t="str"/>
      <x:c r="H90" s="11" t="str"/>
      <x:c r="I90" s="11" t="str">
        <x:v>BY REFERENCE</x:v>
      </x:c>
      <x:c r="J90" s="11" t="str">
        <x:v>SF1442 Award_N4019223D2803.pdf</x:v>
      </x:c>
      <x:c r="K90" s="11" t="n">
        <x:v>10</x:v>
      </x:c>
      <x:c r="L90" s="11" t="str">
        <x:v>52.236-11 Use and Possession Prior to Completion APR 1984</x:v>
      </x:c>
      <x:c r="M90" s="11" t="str">
        <x:v>Extracted</x:v>
      </x:c>
    </x:row>
    <x:row r="91">
      <x:c r="A91" s="11" t="str">
        <x:v>CLS-0088</x:v>
      </x:c>
      <x:c r="B91" s="11" t="str">
        <x:v>CTR-N40192-23-D-2803</x:v>
      </x:c>
      <x:c r="C91" s="11" t="str">
        <x:v>FAR</x:v>
      </x:c>
      <x:c r="D91" s="11" t="str">
        <x:v>52.236-12</x:v>
      </x:c>
      <x:c r="E91" s="11" t="str">
        <x:v>Cleaning Up</x:v>
      </x:c>
      <x:c r="F91" s="11" t="str">
        <x:v>APR 1984</x:v>
      </x:c>
      <x:c r="G91" s="11" t="str"/>
      <x:c r="H91" s="11" t="str"/>
      <x:c r="I91" s="11" t="str">
        <x:v>BY REFERENCE</x:v>
      </x:c>
      <x:c r="J91" s="11" t="str">
        <x:v>SF1442 Award_N4019223D2803.pdf</x:v>
      </x:c>
      <x:c r="K91" s="11" t="n">
        <x:v>10</x:v>
      </x:c>
      <x:c r="L91" s="11" t="str">
        <x:v>52.236-12 Cleaning Up APR 1984</x:v>
      </x:c>
      <x:c r="M91" s="11" t="str">
        <x:v>Extracted</x:v>
      </x:c>
    </x:row>
    <x:row r="92">
      <x:c r="A92" s="11" t="str">
        <x:v>CLS-0089</x:v>
      </x:c>
      <x:c r="B92" s="11" t="str">
        <x:v>CTR-N40192-23-D-2803</x:v>
      </x:c>
      <x:c r="C92" s="11" t="str">
        <x:v>FAR</x:v>
      </x:c>
      <x:c r="D92" s="11" t="str">
        <x:v>52.236-13</x:v>
      </x:c>
      <x:c r="E92" s="11" t="str">
        <x:v>Accident Prevention (Nov 1991) - Alternate I</x:v>
      </x:c>
      <x:c r="F92" s="11" t="str">
        <x:v>NOV 1991</x:v>
      </x:c>
      <x:c r="G92" s="11" t="str">
        <x:v>Alt I</x:v>
      </x:c>
      <x:c r="H92" s="11" t="str"/>
      <x:c r="I92" s="11" t="str">
        <x:v>BY REFERENCE</x:v>
      </x:c>
      <x:c r="J92" s="11" t="str">
        <x:v>SF1442 Award_N4019223D2803.pdf</x:v>
      </x:c>
      <x:c r="K92" s="11" t="n">
        <x:v>10</x:v>
      </x:c>
      <x:c r="L92" s="11" t="str">
        <x:v>52.236-13 Alt I Accident Prevention (Nov 1991) - Alternate I NOV 1991</x:v>
      </x:c>
      <x:c r="M92" s="11" t="str">
        <x:v>Extracted</x:v>
      </x:c>
    </x:row>
    <x:row r="93">
      <x:c r="A93" s="11" t="str">
        <x:v>CLS-0090</x:v>
      </x:c>
      <x:c r="B93" s="11" t="str">
        <x:v>CTR-N40192-23-D-2803</x:v>
      </x:c>
      <x:c r="C93" s="11" t="str">
        <x:v>FAR</x:v>
      </x:c>
      <x:c r="D93" s="11" t="str">
        <x:v>52.236-16</x:v>
      </x:c>
      <x:c r="E93" s="11" t="str">
        <x:v>Quantity Surveys (Apr 1984) - Alternate I</x:v>
      </x:c>
      <x:c r="F93" s="11" t="str">
        <x:v>APR 1984</x:v>
      </x:c>
      <x:c r="G93" s="11" t="str">
        <x:v>Alt I</x:v>
      </x:c>
      <x:c r="H93" s="11" t="str"/>
      <x:c r="I93" s="11" t="str">
        <x:v>BY REFERENCE</x:v>
      </x:c>
      <x:c r="J93" s="11" t="str">
        <x:v>SF1442 Award_N4019223D2803.pdf</x:v>
      </x:c>
      <x:c r="K93" s="11" t="n">
        <x:v>10</x:v>
      </x:c>
      <x:c r="L93" s="11" t="str">
        <x:v>52.236-16 Alt I Quantity Surveys (Apr 1984) - Alternate I APR 1984</x:v>
      </x:c>
      <x:c r="M93" s="11" t="str">
        <x:v>Extracted</x:v>
      </x:c>
    </x:row>
    <x:row r="94">
      <x:c r="A94" s="11" t="str">
        <x:v>CLS-0091</x:v>
      </x:c>
      <x:c r="B94" s="11" t="str">
        <x:v>CTR-N40192-23-D-2803</x:v>
      </x:c>
      <x:c r="C94" s="11" t="str">
        <x:v>FAR</x:v>
      </x:c>
      <x:c r="D94" s="11" t="str">
        <x:v>52.236-17</x:v>
      </x:c>
      <x:c r="E94" s="11" t="str">
        <x:v>Layout of Work</x:v>
      </x:c>
      <x:c r="F94" s="11" t="str">
        <x:v>APR 1984</x:v>
      </x:c>
      <x:c r="G94" s="11" t="str"/>
      <x:c r="H94" s="11" t="str"/>
      <x:c r="I94" s="11" t="str">
        <x:v>BY REFERENCE</x:v>
      </x:c>
      <x:c r="J94" s="11" t="str">
        <x:v>SF1442 Award_N4019223D2803.pdf</x:v>
      </x:c>
      <x:c r="K94" s="11" t="n">
        <x:v>10</x:v>
      </x:c>
      <x:c r="L94" s="11" t="str">
        <x:v>52.236-17 Layout of Work APR 1984</x:v>
      </x:c>
      <x:c r="M94" s="11" t="str">
        <x:v>Extracted</x:v>
      </x:c>
    </x:row>
    <x:row r="95">
      <x:c r="A95" s="11" t="str">
        <x:v>CLS-0092</x:v>
      </x:c>
      <x:c r="B95" s="11" t="str">
        <x:v>CTR-N40192-23-D-2803</x:v>
      </x:c>
      <x:c r="C95" s="11" t="str">
        <x:v>FAR</x:v>
      </x:c>
      <x:c r="D95" s="11" t="str">
        <x:v>52.236-26</x:v>
      </x:c>
      <x:c r="E95" s="11" t="str">
        <x:v>Preconstruction Conference</x:v>
      </x:c>
      <x:c r="F95" s="11" t="str">
        <x:v>FEB 1995</x:v>
      </x:c>
      <x:c r="G95" s="11" t="str"/>
      <x:c r="H95" s="11" t="str"/>
      <x:c r="I95" s="11" t="str">
        <x:v>BY REFERENCE</x:v>
      </x:c>
      <x:c r="J95" s="11" t="str">
        <x:v>SF1442 Award_N4019223D2803.pdf</x:v>
      </x:c>
      <x:c r="K95" s="11" t="n">
        <x:v>10</x:v>
      </x:c>
      <x:c r="L95" s="11" t="str">
        <x:v>52.236-26 Preconstruction Conference FEB 1995</x:v>
      </x:c>
      <x:c r="M95" s="11" t="str">
        <x:v>Extracted</x:v>
      </x:c>
    </x:row>
    <x:row r="96">
      <x:c r="A96" s="11" t="str">
        <x:v>CLS-0093</x:v>
      </x:c>
      <x:c r="B96" s="11" t="str">
        <x:v>CTR-N40192-23-D-2803</x:v>
      </x:c>
      <x:c r="C96" s="11" t="str">
        <x:v>FAR</x:v>
      </x:c>
      <x:c r="D96" s="11" t="str">
        <x:v>52.242-13</x:v>
      </x:c>
      <x:c r="E96" s="11" t="str">
        <x:v>Bankruptcy</x:v>
      </x:c>
      <x:c r="F96" s="11" t="str">
        <x:v>JUL 1995</x:v>
      </x:c>
      <x:c r="G96" s="11" t="str"/>
      <x:c r="H96" s="11" t="str"/>
      <x:c r="I96" s="11" t="str">
        <x:v>BY REFERENCE</x:v>
      </x:c>
      <x:c r="J96" s="11" t="str">
        <x:v>SF1442 Award_N4019223D2803.pdf</x:v>
      </x:c>
      <x:c r="K96" s="11" t="n">
        <x:v>10</x:v>
      </x:c>
      <x:c r="L96" s="11" t="str">
        <x:v>52.242-13 Bankruptcy JUL 1995</x:v>
      </x:c>
      <x:c r="M96" s="11" t="str">
        <x:v>Extracted</x:v>
      </x:c>
    </x:row>
    <x:row r="97">
      <x:c r="A97" s="11" t="str">
        <x:v>CLS-0094</x:v>
      </x:c>
      <x:c r="B97" s="11" t="str">
        <x:v>CTR-N40192-23-D-2803</x:v>
      </x:c>
      <x:c r="C97" s="11" t="str">
        <x:v>FAR</x:v>
      </x:c>
      <x:c r="D97" s="11" t="str">
        <x:v>52.242-14</x:v>
      </x:c>
      <x:c r="E97" s="11" t="str">
        <x:v>Suspension of Work</x:v>
      </x:c>
      <x:c r="F97" s="11" t="str">
        <x:v>APR 1984</x:v>
      </x:c>
      <x:c r="G97" s="11" t="str"/>
      <x:c r="H97" s="11" t="str"/>
      <x:c r="I97" s="11" t="str">
        <x:v>BY REFERENCE</x:v>
      </x:c>
      <x:c r="J97" s="11" t="str">
        <x:v>SF1442 Award_N4019223D2803.pdf</x:v>
      </x:c>
      <x:c r="K97" s="11" t="n">
        <x:v>10</x:v>
      </x:c>
      <x:c r="L97" s="11" t="str">
        <x:v>52.242-14 Suspension of Work APR 1984</x:v>
      </x:c>
      <x:c r="M97" s="11" t="str">
        <x:v>Extracted</x:v>
      </x:c>
    </x:row>
    <x:row r="98">
      <x:c r="A98" s="11" t="str">
        <x:v>CLS-0095</x:v>
      </x:c>
      <x:c r="B98" s="11" t="str">
        <x:v>CTR-N40192-23-D-2803</x:v>
      </x:c>
      <x:c r="C98" s="11" t="str">
        <x:v>FAR</x:v>
      </x:c>
      <x:c r="D98" s="11" t="str">
        <x:v>52.243-4</x:v>
      </x:c>
      <x:c r="E98" s="11" t="str">
        <x:v>Changes</x:v>
      </x:c>
      <x:c r="F98" s="11" t="str">
        <x:v>JUN 2007</x:v>
      </x:c>
      <x:c r="G98" s="11" t="str"/>
      <x:c r="H98" s="11" t="str"/>
      <x:c r="I98" s="11" t="str">
        <x:v>BY REFERENCE</x:v>
      </x:c>
      <x:c r="J98" s="11" t="str">
        <x:v>SF1442 Award_N4019223D2803.pdf</x:v>
      </x:c>
      <x:c r="K98" s="11" t="n">
        <x:v>10</x:v>
      </x:c>
      <x:c r="L98" s="11" t="str">
        <x:v>52.243-4 Changes JUN 2007</x:v>
      </x:c>
      <x:c r="M98" s="11" t="str">
        <x:v>Extracted</x:v>
      </x:c>
    </x:row>
    <x:row r="99">
      <x:c r="A99" s="11" t="str">
        <x:v>CLS-0096</x:v>
      </x:c>
      <x:c r="B99" s="11" t="str">
        <x:v>CTR-N40192-23-D-2803</x:v>
      </x:c>
      <x:c r="C99" s="11" t="str">
        <x:v>FAR</x:v>
      </x:c>
      <x:c r="D99" s="11" t="str">
        <x:v>52.243-7</x:v>
      </x:c>
      <x:c r="E99" s="11" t="str">
        <x:v>Notification Of Changes</x:v>
      </x:c>
      <x:c r="F99" s="11" t="str">
        <x:v>JAN 2017</x:v>
      </x:c>
      <x:c r="G99" s="11" t="str"/>
      <x:c r="H99" s="11" t="str"/>
      <x:c r="I99" s="11" t="str">
        <x:v>BY REFERENCE</x:v>
      </x:c>
      <x:c r="J99" s="11" t="str">
        <x:v>SF1442 Award_N4019223D2803.pdf</x:v>
      </x:c>
      <x:c r="K99" s="11" t="n">
        <x:v>10</x:v>
      </x:c>
      <x:c r="L99" s="11" t="str">
        <x:v>52.243-7 Notification Of Changes JAN 2017</x:v>
      </x:c>
      <x:c r="M99" s="11" t="str">
        <x:v>Extracted</x:v>
      </x:c>
    </x:row>
    <x:row r="100">
      <x:c r="A100" s="11" t="str">
        <x:v>CLS-0097</x:v>
      </x:c>
      <x:c r="B100" s="11" t="str">
        <x:v>CTR-N40192-23-D-2803</x:v>
      </x:c>
      <x:c r="C100" s="11" t="str">
        <x:v>FAR</x:v>
      </x:c>
      <x:c r="D100" s="11" t="str">
        <x:v>52.244-6</x:v>
      </x:c>
      <x:c r="E100" s="11" t="str">
        <x:v>Subcontracts for Commercial Items</x:v>
      </x:c>
      <x:c r="F100" s="11" t="str">
        <x:v>NOV 2020</x:v>
      </x:c>
      <x:c r="G100" s="11" t="str"/>
      <x:c r="H100" s="11" t="str"/>
      <x:c r="I100" s="11" t="str">
        <x:v>BY REFERENCE</x:v>
      </x:c>
      <x:c r="J100" s="11" t="str">
        <x:v>SF1442 Award_N4019223D2803.pdf</x:v>
      </x:c>
      <x:c r="K100" s="11" t="n">
        <x:v>10</x:v>
      </x:c>
      <x:c r="L100" s="11" t="str">
        <x:v>52.244-6 Subcontracts for Commercial Items NOV 2020</x:v>
      </x:c>
      <x:c r="M100" s="11" t="str">
        <x:v>Extracted</x:v>
      </x:c>
    </x:row>
    <x:row r="101">
      <x:c r="A101" s="11" t="str">
        <x:v>CLS-0098</x:v>
      </x:c>
      <x:c r="B101" s="11" t="str">
        <x:v>CTR-N40192-23-D-2803</x:v>
      </x:c>
      <x:c r="C101" s="11" t="str">
        <x:v>FAR</x:v>
      </x:c>
      <x:c r="D101" s="11" t="str">
        <x:v>52.246-12</x:v>
      </x:c>
      <x:c r="E101" s="11" t="str">
        <x:v>Inspection of Construction</x:v>
      </x:c>
      <x:c r="F101" s="11" t="str">
        <x:v>AUG 1996</x:v>
      </x:c>
      <x:c r="G101" s="11" t="str"/>
      <x:c r="H101" s="11" t="str"/>
      <x:c r="I101" s="11" t="str">
        <x:v>BY REFERENCE</x:v>
      </x:c>
      <x:c r="J101" s="11" t="str">
        <x:v>SF1442 Award_N4019223D2803.pdf</x:v>
      </x:c>
      <x:c r="K101" s="11" t="n">
        <x:v>10</x:v>
      </x:c>
      <x:c r="L101" s="11" t="str">
        <x:v>52.246-12 Inspection of Construction AUG 1996</x:v>
      </x:c>
      <x:c r="M101" s="11" t="str">
        <x:v>Extracted</x:v>
      </x:c>
    </x:row>
    <x:row r="102">
      <x:c r="A102" s="11" t="str">
        <x:v>CLS-0099</x:v>
      </x:c>
      <x:c r="B102" s="11" t="str">
        <x:v>CTR-N40192-23-D-2803</x:v>
      </x:c>
      <x:c r="C102" s="11" t="str">
        <x:v>FAR</x:v>
      </x:c>
      <x:c r="D102" s="11" t="str">
        <x:v>52.246-21</x:v>
      </x:c>
      <x:c r="E102" s="11" t="str">
        <x:v>Warranty of Construction</x:v>
      </x:c>
      <x:c r="F102" s="11" t="str">
        <x:v>MAR 1994</x:v>
      </x:c>
      <x:c r="G102" s="11" t="str"/>
      <x:c r="H102" s="11" t="str"/>
      <x:c r="I102" s="11" t="str">
        <x:v>BY REFERENCE</x:v>
      </x:c>
      <x:c r="J102" s="11" t="str">
        <x:v>SF1442 Award_N4019223D2803.pdf</x:v>
      </x:c>
      <x:c r="K102" s="11" t="n">
        <x:v>10</x:v>
      </x:c>
      <x:c r="L102" s="11" t="str">
        <x:v>52.246-21 Warranty of Construction MAR 1994</x:v>
      </x:c>
      <x:c r="M102" s="11" t="str">
        <x:v>Extracted</x:v>
      </x:c>
    </x:row>
    <x:row r="103">
      <x:c r="A103" s="11" t="str">
        <x:v>CLS-0100</x:v>
      </x:c>
      <x:c r="B103" s="11" t="str">
        <x:v>CTR-N40192-23-D-2803</x:v>
      </x:c>
      <x:c r="C103" s="11" t="str">
        <x:v>FAR</x:v>
      </x:c>
      <x:c r="D103" s="11" t="str">
        <x:v>52.248-3</x:v>
      </x:c>
      <x:c r="E103" s="11" t="str">
        <x:v>Value Engineering-Construction</x:v>
      </x:c>
      <x:c r="F103" s="11" t="str">
        <x:v>OCT 2020</x:v>
      </x:c>
      <x:c r="G103" s="11" t="str"/>
      <x:c r="H103" s="11" t="str"/>
      <x:c r="I103" s="11" t="str">
        <x:v>BY REFERENCE</x:v>
      </x:c>
      <x:c r="J103" s="11" t="str">
        <x:v>SF1442 Award_N4019223D2803.pdf</x:v>
      </x:c>
      <x:c r="K103" s="11" t="n">
        <x:v>10</x:v>
      </x:c>
      <x:c r="L103" s="11" t="str">
        <x:v>52.248-3 Value Engineering-Construction OCT 2020</x:v>
      </x:c>
      <x:c r="M103" s="11" t="str">
        <x:v>Extracted</x:v>
      </x:c>
    </x:row>
    <x:row r="104">
      <x:c r="A104" s="11" t="str">
        <x:v>CLS-0101</x:v>
      </x:c>
      <x:c r="B104" s="11" t="str">
        <x:v>CTR-N40192-23-D-2803</x:v>
      </x:c>
      <x:c r="C104" s="11" t="str">
        <x:v>FAR</x:v>
      </x:c>
      <x:c r="D104" s="11" t="str">
        <x:v>52.249-2</x:v>
      </x:c>
      <x:c r="E104" s="11" t="str">
        <x:v>Termination for Convenience of the Government (Fixed-</x:v>
      </x:c>
      <x:c r="F104" s="11" t="str">
        <x:v>SEP 1996</x:v>
      </x:c>
      <x:c r="G104" s="11" t="str">
        <x:v>Alt I</x:v>
      </x:c>
      <x:c r="H104" s="11" t="str"/>
      <x:c r="I104" s="11" t="str">
        <x:v>BY REFERENCE</x:v>
      </x:c>
      <x:c r="J104" s="11" t="str">
        <x:v>SF1442 Award_N4019223D2803.pdf</x:v>
      </x:c>
      <x:c r="K104" s="11" t="n">
        <x:v>10</x:v>
      </x:c>
      <x:c r="L104" s="11" t="str">
        <x:v>52.249-2 Alt I Termination for Convenience of the Government (Fixed- SEP 1996</x:v>
      </x:c>
      <x:c r="M104" s="11" t="str">
        <x:v>Extracted</x:v>
      </x:c>
    </x:row>
    <x:row r="105">
      <x:c r="A105" s="11" t="str">
        <x:v>CLS-0102</x:v>
      </x:c>
      <x:c r="B105" s="11" t="str">
        <x:v>CTR-N40192-23-D-2803</x:v>
      </x:c>
      <x:c r="C105" s="11" t="str">
        <x:v>FAR</x:v>
      </x:c>
      <x:c r="D105" s="11" t="str">
        <x:v>52.249-10</x:v>
      </x:c>
      <x:c r="E105" s="11" t="str">
        <x:v>Default (Fixed-Price Construction)</x:v>
      </x:c>
      <x:c r="F105" s="11" t="str">
        <x:v>APR 1984</x:v>
      </x:c>
      <x:c r="G105" s="11" t="str"/>
      <x:c r="H105" s="11" t="str"/>
      <x:c r="I105" s="11" t="str">
        <x:v>BY REFERENCE</x:v>
      </x:c>
      <x:c r="J105" s="11" t="str">
        <x:v>SF1442 Award_N4019223D2803.pdf</x:v>
      </x:c>
      <x:c r="K105" s="11" t="n">
        <x:v>10</x:v>
      </x:c>
      <x:c r="L105" s="11" t="str">
        <x:v>52.249-10 Default (Fixed-Price Construction) APR 1984</x:v>
      </x:c>
      <x:c r="M105" s="11" t="str">
        <x:v>Extracted</x:v>
      </x:c>
    </x:row>
    <x:row r="106">
      <x:c r="A106" s="11" t="str">
        <x:v>CLS-0103</x:v>
      </x:c>
      <x:c r="B106" s="11" t="str">
        <x:v>CTR-N40192-23-D-2803</x:v>
      </x:c>
      <x:c r="C106" s="11" t="str">
        <x:v>FAR</x:v>
      </x:c>
      <x:c r="D106" s="11" t="str">
        <x:v>52.251-1</x:v>
      </x:c>
      <x:c r="E106" s="11" t="str">
        <x:v>Government Supply Sources</x:v>
      </x:c>
      <x:c r="F106" s="11" t="str">
        <x:v>APR 2012</x:v>
      </x:c>
      <x:c r="G106" s="11" t="str"/>
      <x:c r="H106" s="11" t="str"/>
      <x:c r="I106" s="11" t="str">
        <x:v>BY REFERENCE</x:v>
      </x:c>
      <x:c r="J106" s="11" t="str">
        <x:v>SF1442 Award_N4019223D2803.pdf</x:v>
      </x:c>
      <x:c r="K106" s="11" t="n">
        <x:v>10</x:v>
      </x:c>
      <x:c r="L106" s="11" t="str">
        <x:v>52.251-1 Government Supply Sources APR 2012</x:v>
      </x:c>
      <x:c r="M106" s="11" t="str">
        <x:v>Extracted</x:v>
      </x:c>
    </x:row>
    <x:row r="107">
      <x:c r="A107" s="11" t="str">
        <x:v>CLS-0104</x:v>
      </x:c>
      <x:c r="B107" s="11" t="str">
        <x:v>CTR-N40192-23-D-2803</x:v>
      </x:c>
      <x:c r="C107" s="11" t="str">
        <x:v>FAR</x:v>
      </x:c>
      <x:c r="D107" s="11" t="str">
        <x:v>52.252-4</x:v>
      </x:c>
      <x:c r="E107" s="11" t="str">
        <x:v>Alterations in Contract</x:v>
      </x:c>
      <x:c r="F107" s="11" t="str">
        <x:v>APR 1984</x:v>
      </x:c>
      <x:c r="G107" s="11" t="str"/>
      <x:c r="H107" s="11" t="str"/>
      <x:c r="I107" s="11" t="str">
        <x:v>BY REFERENCE</x:v>
      </x:c>
      <x:c r="J107" s="11" t="str">
        <x:v>SF1442 Award_N4019223D2803.pdf</x:v>
      </x:c>
      <x:c r="K107" s="11" t="n">
        <x:v>10</x:v>
      </x:c>
      <x:c r="L107" s="11" t="str">
        <x:v>52.252-4 Alterations in Contract APR 1984</x:v>
      </x:c>
      <x:c r="M107" s="11" t="str">
        <x:v>Extracted</x:v>
      </x:c>
    </x:row>
    <x:row r="108">
      <x:c r="A108" s="11" t="str">
        <x:v>CLS-0105</x:v>
      </x:c>
      <x:c r="B108" s="11" t="str">
        <x:v>CTR-N40192-23-D-2803</x:v>
      </x:c>
      <x:c r="C108" s="11" t="str">
        <x:v>FAR</x:v>
      </x:c>
      <x:c r="D108" s="11" t="str">
        <x:v>52.252-6</x:v>
      </x:c>
      <x:c r="E108" s="11" t="str">
        <x:v>Authorized Deviations In Clauses</x:v>
      </x:c>
      <x:c r="F108" s="11" t="str">
        <x:v>NOV 2020</x:v>
      </x:c>
      <x:c r="G108" s="11" t="str"/>
      <x:c r="H108" s="11" t="str">
        <x:v>Yes</x:v>
      </x:c>
      <x:c r="I108" s="11" t="str">
        <x:v>BY REFERENCE</x:v>
      </x:c>
      <x:c r="J108" s="11" t="str">
        <x:v>SF1442 Award_N4019223D2803.pdf</x:v>
      </x:c>
      <x:c r="K108" s="11" t="n">
        <x:v>10</x:v>
      </x:c>
      <x:c r="L108" s="11" t="str">
        <x:v>52.252-6 Authorized Deviations In Clauses NOV 2020</x:v>
      </x:c>
      <x:c r="M108" s="11" t="str">
        <x:v>Extracted</x:v>
      </x:c>
    </x:row>
    <x:row r="109">
      <x:c r="A109" s="11" t="str">
        <x:v>CLS-0106</x:v>
      </x:c>
      <x:c r="B109" s="11" t="str">
        <x:v>CTR-N40192-23-D-2803</x:v>
      </x:c>
      <x:c r="C109" s="11" t="str">
        <x:v>FAR</x:v>
      </x:c>
      <x:c r="D109" s="11" t="str">
        <x:v>52.253-1</x:v>
      </x:c>
      <x:c r="E109" s="11" t="str">
        <x:v>Computer Generated Forms</x:v>
      </x:c>
      <x:c r="F109" s="11" t="str">
        <x:v>JAN 1991</x:v>
      </x:c>
      <x:c r="G109" s="11" t="str"/>
      <x:c r="H109" s="11" t="str"/>
      <x:c r="I109" s="11" t="str">
        <x:v>BY REFERENCE</x:v>
      </x:c>
      <x:c r="J109" s="11" t="str">
        <x:v>SF1442 Award_N4019223D2803.pdf</x:v>
      </x:c>
      <x:c r="K109" s="11" t="n">
        <x:v>10</x:v>
      </x:c>
      <x:c r="L109" s="11" t="str">
        <x:v>52.253-1 Computer Generated Forms JAN 1991</x:v>
      </x:c>
      <x:c r="M109" s="11" t="str">
        <x:v>Extracted</x:v>
      </x:c>
    </x:row>
    <x:row r="110">
      <x:c r="A110" s="11" t="str">
        <x:v>CLS-0107</x:v>
      </x:c>
      <x:c r="B110" s="11" t="str">
        <x:v>CTR-N40192-23-D-2803</x:v>
      </x:c>
      <x:c r="C110" s="11" t="str">
        <x:v>DFARS</x:v>
      </x:c>
      <x:c r="D110" s="11" t="str">
        <x:v>252.201-7000</x:v>
      </x:c>
      <x:c r="E110" s="11" t="str">
        <x:v>Contracting Officer's Representative</x:v>
      </x:c>
      <x:c r="F110" s="11" t="str">
        <x:v>DEC 1991</x:v>
      </x:c>
      <x:c r="G110" s="11" t="str"/>
      <x:c r="H110" s="11" t="str"/>
      <x:c r="I110" s="11" t="str">
        <x:v>BY REFERENCE</x:v>
      </x:c>
      <x:c r="J110" s="11" t="str">
        <x:v>SF1442 Award_N4019223D2803.pdf</x:v>
      </x:c>
      <x:c r="K110" s="11" t="n">
        <x:v>10</x:v>
      </x:c>
      <x:c r="L110" s="11" t="str">
        <x:v>252.201-7000 Contracting Officer's Representative DEC 1991</x:v>
      </x:c>
      <x:c r="M110" s="11" t="str">
        <x:v>Extracted</x:v>
      </x:c>
    </x:row>
    <x:row r="111">
      <x:c r="A111" s="11" t="str">
        <x:v>CLS-0108</x:v>
      </x:c>
      <x:c r="B111" s="11" t="str">
        <x:v>CTR-N40192-23-D-2803</x:v>
      </x:c>
      <x:c r="C111" s="11" t="str">
        <x:v>DFARS</x:v>
      </x:c>
      <x:c r="D111" s="11" t="str">
        <x:v>252.203-7000</x:v>
      </x:c>
      <x:c r="E111" s="11" t="str">
        <x:v>Requirements Relating to Compensation of Former DoD</x:v>
      </x:c>
      <x:c r="F111" s="11" t="str">
        <x:v>SEP 2011</x:v>
      </x:c>
      <x:c r="G111" s="11" t="str"/>
      <x:c r="H111" s="11" t="str"/>
      <x:c r="I111" s="11" t="str">
        <x:v>BY REFERENCE</x:v>
      </x:c>
      <x:c r="J111" s="11" t="str">
        <x:v>SF1442 Award_N4019223D2803.pdf</x:v>
      </x:c>
      <x:c r="K111" s="11" t="n">
        <x:v>10</x:v>
      </x:c>
      <x:c r="L111" s="11" t="str">
        <x:v>252.203-7000 Requirements Relating to Compensation of Former DoD SEP 2011</x:v>
      </x:c>
      <x:c r="M111" s="11" t="str">
        <x:v>Extracted</x:v>
      </x:c>
    </x:row>
    <x:row r="112">
      <x:c r="A112" s="11" t="str">
        <x:v>CLS-0109</x:v>
      </x:c>
      <x:c r="B112" s="11" t="str">
        <x:v>CTR-N40192-23-D-2803</x:v>
      </x:c>
      <x:c r="C112" s="11" t="str">
        <x:v>DFARS</x:v>
      </x:c>
      <x:c r="D112" s="11" t="str">
        <x:v>252.203-7003</x:v>
      </x:c>
      <x:c r="E112" s="11" t="str">
        <x:v>Agency Office of the Inspector General</x:v>
      </x:c>
      <x:c r="F112" s="11" t="str">
        <x:v>AUG 2019</x:v>
      </x:c>
      <x:c r="G112" s="11" t="str"/>
      <x:c r="H112" s="11" t="str"/>
      <x:c r="I112" s="11" t="str">
        <x:v>BY REFERENCE</x:v>
      </x:c>
      <x:c r="J112" s="11" t="str">
        <x:v>SF1442 Award_N4019223D2803.pdf</x:v>
      </x:c>
      <x:c r="K112" s="11" t="n">
        <x:v>11</x:v>
      </x:c>
      <x:c r="L112" s="11" t="str">
        <x:v>252.203-7003 Agency Office of the Inspector General AUG 2019</x:v>
      </x:c>
      <x:c r="M112" s="11" t="str">
        <x:v>Extracted</x:v>
      </x:c>
    </x:row>
    <x:row r="113">
      <x:c r="A113" s="11" t="str">
        <x:v>CLS-0110</x:v>
      </x:c>
      <x:c r="B113" s="11" t="str">
        <x:v>CTR-N40192-23-D-2803</x:v>
      </x:c>
      <x:c r="C113" s="11" t="str">
        <x:v>DFARS</x:v>
      </x:c>
      <x:c r="D113" s="11" t="str">
        <x:v>252.203-7004</x:v>
      </x:c>
      <x:c r="E113" s="11" t="str">
        <x:v>Display of Hotline Posters</x:v>
      </x:c>
      <x:c r="F113" s="11" t="str">
        <x:v>AUG 2019</x:v>
      </x:c>
      <x:c r="G113" s="11" t="str"/>
      <x:c r="H113" s="11" t="str"/>
      <x:c r="I113" s="11" t="str">
        <x:v>BY REFERENCE</x:v>
      </x:c>
      <x:c r="J113" s="11" t="str">
        <x:v>SF1442 Award_N4019223D2803.pdf</x:v>
      </x:c>
      <x:c r="K113" s="11" t="n">
        <x:v>11</x:v>
      </x:c>
      <x:c r="L113" s="11" t="str">
        <x:v>252.203-7004 Display of Hotline Posters AUG 2019</x:v>
      </x:c>
      <x:c r="M113" s="11" t="str">
        <x:v>Extracted</x:v>
      </x:c>
    </x:row>
    <x:row r="114">
      <x:c r="A114" s="11" t="str">
        <x:v>CLS-0111</x:v>
      </x:c>
      <x:c r="B114" s="11" t="str">
        <x:v>CTR-N40192-23-D-2803</x:v>
      </x:c>
      <x:c r="C114" s="11" t="str">
        <x:v>DFARS</x:v>
      </x:c>
      <x:c r="D114" s="11" t="str">
        <x:v>252.204-7000</x:v>
      </x:c>
      <x:c r="E114" s="11" t="str">
        <x:v>Disclosure Of Information</x:v>
      </x:c>
      <x:c r="F114" s="11" t="str">
        <x:v>OCT 2016</x:v>
      </x:c>
      <x:c r="G114" s="11" t="str"/>
      <x:c r="H114" s="11" t="str"/>
      <x:c r="I114" s="11" t="str">
        <x:v>BY REFERENCE</x:v>
      </x:c>
      <x:c r="J114" s="11" t="str">
        <x:v>SF1442 Award_N4019223D2803.pdf</x:v>
      </x:c>
      <x:c r="K114" s="11" t="n">
        <x:v>11</x:v>
      </x:c>
      <x:c r="L114" s="11" t="str">
        <x:v>252.204-7000 Disclosure Of Information OCT 2016</x:v>
      </x:c>
      <x:c r="M114" s="11" t="str">
        <x:v>Extracted</x:v>
      </x:c>
    </x:row>
    <x:row r="115">
      <x:c r="A115" s="11" t="str">
        <x:v>CLS-0112</x:v>
      </x:c>
      <x:c r="B115" s="11" t="str">
        <x:v>CTR-N40192-23-D-2803</x:v>
      </x:c>
      <x:c r="C115" s="11" t="str">
        <x:v>DFARS</x:v>
      </x:c>
      <x:c r="D115" s="11" t="str">
        <x:v>252.204-7003</x:v>
      </x:c>
      <x:c r="E115" s="11" t="str">
        <x:v>Control Of Government Personnel Work Product</x:v>
      </x:c>
      <x:c r="F115" s="11" t="str">
        <x:v>APR 1992</x:v>
      </x:c>
      <x:c r="G115" s="11" t="str"/>
      <x:c r="H115" s="11" t="str"/>
      <x:c r="I115" s="11" t="str">
        <x:v>BY REFERENCE</x:v>
      </x:c>
      <x:c r="J115" s="11" t="str">
        <x:v>SF1442 Award_N4019223D2803.pdf</x:v>
      </x:c>
      <x:c r="K115" s="11" t="n">
        <x:v>11</x:v>
      </x:c>
      <x:c r="L115" s="11" t="str">
        <x:v>252.204-7003 Control Of Government Personnel Work Product APR 1992</x:v>
      </x:c>
      <x:c r="M115" s="11" t="str">
        <x:v>Extracted</x:v>
      </x:c>
    </x:row>
    <x:row r="116">
      <x:c r="A116" s="11" t="str">
        <x:v>CLS-0113</x:v>
      </x:c>
      <x:c r="B116" s="11" t="str">
        <x:v>CTR-N40192-23-D-2803</x:v>
      </x:c>
      <x:c r="C116" s="11" t="str">
        <x:v>DFARS</x:v>
      </x:c>
      <x:c r="D116" s="11" t="str">
        <x:v>252.204-7004</x:v>
      </x:c>
      <x:c r="E116" s="11" t="str">
        <x:v>Antiterrorism Awareness Training for Contractors.</x:v>
      </x:c>
      <x:c r="F116" s="11" t="str">
        <x:v>FEB 2019</x:v>
      </x:c>
      <x:c r="G116" s="11" t="str"/>
      <x:c r="H116" s="11" t="str"/>
      <x:c r="I116" s="11" t="str">
        <x:v>BY REFERENCE</x:v>
      </x:c>
      <x:c r="J116" s="11" t="str">
        <x:v>SF1442 Award_N4019223D2803.pdf</x:v>
      </x:c>
      <x:c r="K116" s="11" t="n">
        <x:v>11</x:v>
      </x:c>
      <x:c r="L116" s="11" t="str">
        <x:v>252.204-7004 Antiterrorism Awareness Training for Contractors. FEB 2019</x:v>
      </x:c>
      <x:c r="M116" s="11" t="str">
        <x:v>Extracted</x:v>
      </x:c>
    </x:row>
    <x:row r="117">
      <x:c r="A117" s="11" t="str">
        <x:v>CLS-0114</x:v>
      </x:c>
      <x:c r="B117" s="11" t="str">
        <x:v>CTR-N40192-23-D-2803</x:v>
      </x:c>
      <x:c r="C117" s="11" t="str">
        <x:v>DFARS</x:v>
      </x:c>
      <x:c r="D117" s="11" t="str">
        <x:v>252.204-7006</x:v>
      </x:c>
      <x:c r="E117" s="11" t="str">
        <x:v>Billing Instructions</x:v>
      </x:c>
      <x:c r="F117" s="11" t="str">
        <x:v>OCT 2005</x:v>
      </x:c>
      <x:c r="G117" s="11" t="str"/>
      <x:c r="H117" s="11" t="str"/>
      <x:c r="I117" s="11" t="str">
        <x:v>BY REFERENCE</x:v>
      </x:c>
      <x:c r="J117" s="11" t="str">
        <x:v>SF1442 Award_N4019223D2803.pdf</x:v>
      </x:c>
      <x:c r="K117" s="11" t="n">
        <x:v>11</x:v>
      </x:c>
      <x:c r="L117" s="11" t="str">
        <x:v>252.204-7006 Billing Instructions OCT 2005</x:v>
      </x:c>
      <x:c r="M117" s="11" t="str">
        <x:v>Extracted</x:v>
      </x:c>
    </x:row>
    <x:row r="118">
      <x:c r="A118" s="11" t="str">
        <x:v>CLS-0115</x:v>
      </x:c>
      <x:c r="B118" s="11" t="str">
        <x:v>CTR-N40192-23-D-2803</x:v>
      </x:c>
      <x:c r="C118" s="11" t="str">
        <x:v>DFARS</x:v>
      </x:c>
      <x:c r="D118" s="11" t="str">
        <x:v>252.204-7012</x:v>
      </x:c>
      <x:c r="E118" s="11" t="str">
        <x:v>Safeguarding Covered Defense Information and Cyber</x:v>
      </x:c>
      <x:c r="F118" s="11" t="str">
        <x:v>DEC 2019</x:v>
      </x:c>
      <x:c r="G118" s="11" t="str"/>
      <x:c r="H118" s="11" t="str"/>
      <x:c r="I118" s="11" t="str">
        <x:v>BY REFERENCE</x:v>
      </x:c>
      <x:c r="J118" s="11" t="str">
        <x:v>SF1442 Award_N4019223D2803.pdf</x:v>
      </x:c>
      <x:c r="K118" s="11" t="n">
        <x:v>11</x:v>
      </x:c>
      <x:c r="L118" s="11" t="str">
        <x:v>252.204-7012 Safeguarding Covered Defense Information and Cyber DEC 2019</x:v>
      </x:c>
      <x:c r="M118" s="11" t="str">
        <x:v>Extracted</x:v>
      </x:c>
    </x:row>
    <x:row r="119">
      <x:c r="A119" s="11" t="str">
        <x:v>CLS-0116</x:v>
      </x:c>
      <x:c r="B119" s="11" t="str">
        <x:v>CTR-N40192-23-D-2803</x:v>
      </x:c>
      <x:c r="C119" s="11" t="str">
        <x:v>DFARS</x:v>
      </x:c>
      <x:c r="D119" s="11" t="str">
        <x:v>252.204-7018</x:v>
      </x:c>
      <x:c r="E119" s="11" t="str">
        <x:v>Prohibition on the Acquisition of Covered Defense</x:v>
      </x:c>
      <x:c r="F119" s="11" t="str">
        <x:v>JAN 2021</x:v>
      </x:c>
      <x:c r="G119" s="11" t="str"/>
      <x:c r="H119" s="11" t="str"/>
      <x:c r="I119" s="11" t="str">
        <x:v>BY REFERENCE</x:v>
      </x:c>
      <x:c r="J119" s="11" t="str">
        <x:v>SF1442 Award_N4019223D2803.pdf</x:v>
      </x:c>
      <x:c r="K119" s="11" t="n">
        <x:v>11</x:v>
      </x:c>
      <x:c r="L119" s="11" t="str">
        <x:v>252.204-7018 Prohibition on the Acquisition of Covered Defense JAN 2021</x:v>
      </x:c>
      <x:c r="M119" s="11" t="str">
        <x:v>Extracted</x:v>
      </x:c>
    </x:row>
    <x:row r="120">
      <x:c r="A120" s="11" t="str">
        <x:v>CLS-0117</x:v>
      </x:c>
      <x:c r="B120" s="11" t="str">
        <x:v>CTR-N40192-23-D-2803</x:v>
      </x:c>
      <x:c r="C120" s="11" t="str">
        <x:v>DFARS</x:v>
      </x:c>
      <x:c r="D120" s="11" t="str">
        <x:v>252.204-7020</x:v>
      </x:c>
      <x:c r="E120" s="11" t="str">
        <x:v>NIST SP 800-171 DoD Assessment Requirements</x:v>
      </x:c>
      <x:c r="F120" s="11" t="str">
        <x:v>NOV 2020</x:v>
      </x:c>
      <x:c r="G120" s="11" t="str"/>
      <x:c r="H120" s="11" t="str"/>
      <x:c r="I120" s="11" t="str">
        <x:v>BY REFERENCE</x:v>
      </x:c>
      <x:c r="J120" s="11" t="str">
        <x:v>SF1442 Award_N4019223D2803.pdf</x:v>
      </x:c>
      <x:c r="K120" s="11" t="n">
        <x:v>11</x:v>
      </x:c>
      <x:c r="L120" s="11" t="str">
        <x:v>252.204-7020 NIST SP 800-171 DoD Assessment Requirements NOV 2020</x:v>
      </x:c>
      <x:c r="M120" s="11" t="str">
        <x:v>Extracted</x:v>
      </x:c>
    </x:row>
    <x:row r="121">
      <x:c r="A121" s="11" t="str">
        <x:v>CLS-0118</x:v>
      </x:c>
      <x:c r="B121" s="11" t="str">
        <x:v>CTR-N40192-23-D-2803</x:v>
      </x:c>
      <x:c r="C121" s="11" t="str">
        <x:v>DFARS</x:v>
      </x:c>
      <x:c r="D121" s="11" t="str">
        <x:v>252.217-7027</x:v>
      </x:c>
      <x:c r="E121" s="11" t="str">
        <x:v>Contract Definitization</x:v>
      </x:c>
      <x:c r="F121" s="11" t="str">
        <x:v>DEC 2012</x:v>
      </x:c>
      <x:c r="G121" s="11" t="str"/>
      <x:c r="H121" s="11" t="str"/>
      <x:c r="I121" s="11" t="str">
        <x:v>BY REFERENCE</x:v>
      </x:c>
      <x:c r="J121" s="11" t="str">
        <x:v>SF1442 Award_N4019223D2803.pdf</x:v>
      </x:c>
      <x:c r="K121" s="11" t="n">
        <x:v>11</x:v>
      </x:c>
      <x:c r="L121" s="11" t="str">
        <x:v>252.217-7027 Contract Definitization DEC 2012</x:v>
      </x:c>
      <x:c r="M121" s="11" t="str">
        <x:v>Extracted</x:v>
      </x:c>
    </x:row>
    <x:row r="122">
      <x:c r="A122" s="11" t="str">
        <x:v>CLS-0119</x:v>
      </x:c>
      <x:c r="B122" s="11" t="str">
        <x:v>CTR-N40192-23-D-2803</x:v>
      </x:c>
      <x:c r="C122" s="11" t="str">
        <x:v>DFARS</x:v>
      </x:c>
      <x:c r="D122" s="11" t="str">
        <x:v>252.223-7001</x:v>
      </x:c>
      <x:c r="E122" s="11" t="str">
        <x:v>Hazard Warning Labels</x:v>
      </x:c>
      <x:c r="F122" s="11" t="str">
        <x:v>DEC 1991</x:v>
      </x:c>
      <x:c r="G122" s="11" t="str"/>
      <x:c r="H122" s="11" t="str"/>
      <x:c r="I122" s="11" t="str">
        <x:v>BY REFERENCE</x:v>
      </x:c>
      <x:c r="J122" s="11" t="str">
        <x:v>SF1442 Award_N4019223D2803.pdf</x:v>
      </x:c>
      <x:c r="K122" s="11" t="n">
        <x:v>11</x:v>
      </x:c>
      <x:c r="L122" s="11" t="str">
        <x:v>252.223-7001 Hazard Warning Labels DEC 1991</x:v>
      </x:c>
      <x:c r="M122" s="11" t="str">
        <x:v>Extracted</x:v>
      </x:c>
    </x:row>
    <x:row r="123">
      <x:c r="A123" s="11" t="str">
        <x:v>CLS-0120</x:v>
      </x:c>
      <x:c r="B123" s="11" t="str">
        <x:v>CTR-N40192-23-D-2803</x:v>
      </x:c>
      <x:c r="C123" s="11" t="str">
        <x:v>DFARS</x:v>
      </x:c>
      <x:c r="D123" s="11" t="str">
        <x:v>252.223-7002</x:v>
      </x:c>
      <x:c r="E123" s="11" t="str">
        <x:v>Safety Precautions For Ammunition And Explosives</x:v>
      </x:c>
      <x:c r="F123" s="11" t="str">
        <x:v>MAY 1994</x:v>
      </x:c>
      <x:c r="G123" s="11" t="str"/>
      <x:c r="H123" s="11" t="str"/>
      <x:c r="I123" s="11" t="str">
        <x:v>BY REFERENCE</x:v>
      </x:c>
      <x:c r="J123" s="11" t="str">
        <x:v>SF1442 Award_N4019223D2803.pdf</x:v>
      </x:c>
      <x:c r="K123" s="11" t="n">
        <x:v>11</x:v>
      </x:c>
      <x:c r="L123" s="11" t="str">
        <x:v>252.223-7002 Safety Precautions For Ammunition And Explosives MAY 1994</x:v>
      </x:c>
      <x:c r="M123" s="11" t="str">
        <x:v>Extracted</x:v>
      </x:c>
    </x:row>
    <x:row r="124">
      <x:c r="A124" s="11" t="str">
        <x:v>CLS-0121</x:v>
      </x:c>
      <x:c r="B124" s="11" t="str">
        <x:v>CTR-N40192-23-D-2803</x:v>
      </x:c>
      <x:c r="C124" s="11" t="str">
        <x:v>DFARS</x:v>
      </x:c>
      <x:c r="D124" s="11" t="str">
        <x:v>252.223-7003</x:v>
      </x:c>
      <x:c r="E124" s="11" t="str">
        <x:v>Changes In Place Of Performance--Ammunition And</x:v>
      </x:c>
      <x:c r="F124" s="11" t="str">
        <x:v>DEC 1991</x:v>
      </x:c>
      <x:c r="G124" s="11" t="str"/>
      <x:c r="H124" s="11" t="str"/>
      <x:c r="I124" s="11" t="str">
        <x:v>BY REFERENCE</x:v>
      </x:c>
      <x:c r="J124" s="11" t="str">
        <x:v>SF1442 Award_N4019223D2803.pdf</x:v>
      </x:c>
      <x:c r="K124" s="11" t="n">
        <x:v>11</x:v>
      </x:c>
      <x:c r="L124" s="11" t="str">
        <x:v>252.223-7003 Changes In Place Of Performance--Ammunition And DEC 1991</x:v>
      </x:c>
      <x:c r="M124" s="11" t="str">
        <x:v>Extracted</x:v>
      </x:c>
    </x:row>
    <x:row r="125">
      <x:c r="A125" s="11" t="str">
        <x:v>CLS-0122</x:v>
      </x:c>
      <x:c r="B125" s="11" t="str">
        <x:v>CTR-N40192-23-D-2803</x:v>
      </x:c>
      <x:c r="C125" s="11" t="str">
        <x:v>DFARS</x:v>
      </x:c>
      <x:c r="D125" s="11" t="str">
        <x:v>252.223-7008</x:v>
      </x:c>
      <x:c r="E125" s="11" t="str">
        <x:v>Prohibition of Hexavalent Chromium</x:v>
      </x:c>
      <x:c r="F125" s="11" t="str">
        <x:v>JUN 2013</x:v>
      </x:c>
      <x:c r="G125" s="11" t="str"/>
      <x:c r="H125" s="11" t="str"/>
      <x:c r="I125" s="11" t="str">
        <x:v>BY REFERENCE</x:v>
      </x:c>
      <x:c r="J125" s="11" t="str">
        <x:v>SF1442 Award_N4019223D2803.pdf</x:v>
      </x:c>
      <x:c r="K125" s="11" t="n">
        <x:v>11</x:v>
      </x:c>
      <x:c r="L125" s="11" t="str">
        <x:v>252.223-7008 Prohibition of Hexavalent Chromium JUN 2013</x:v>
      </x:c>
      <x:c r="M125" s="11" t="str">
        <x:v>Extracted</x:v>
      </x:c>
    </x:row>
    <x:row r="126">
      <x:c r="A126" s="11" t="str">
        <x:v>CLS-0123</x:v>
      </x:c>
      <x:c r="B126" s="11" t="str">
        <x:v>CTR-N40192-23-D-2803</x:v>
      </x:c>
      <x:c r="C126" s="11" t="str">
        <x:v>DFARS</x:v>
      </x:c>
      <x:c r="D126" s="11" t="str">
        <x:v>252.225-7012</x:v>
      </x:c>
      <x:c r="E126" s="11" t="str">
        <x:v>Preference For Certain Domestic Commodities</x:v>
      </x:c>
      <x:c r="F126" s="11" t="str">
        <x:v>DEC 2017</x:v>
      </x:c>
      <x:c r="G126" s="11" t="str"/>
      <x:c r="H126" s="11" t="str"/>
      <x:c r="I126" s="11" t="str">
        <x:v>BY REFERENCE</x:v>
      </x:c>
      <x:c r="J126" s="11" t="str">
        <x:v>SF1442 Award_N4019223D2803.pdf</x:v>
      </x:c>
      <x:c r="K126" s="11" t="n">
        <x:v>11</x:v>
      </x:c>
      <x:c r="L126" s="11" t="str">
        <x:v>252.225-7012 Preference For Certain Domestic Commodities DEC 2017</x:v>
      </x:c>
      <x:c r="M126" s="11" t="str">
        <x:v>Extracted</x:v>
      </x:c>
    </x:row>
    <x:row r="127">
      <x:c r="A127" s="11" t="str">
        <x:v>CLS-0124</x:v>
      </x:c>
      <x:c r="B127" s="11" t="str">
        <x:v>CTR-N40192-23-D-2803</x:v>
      </x:c>
      <x:c r="C127" s="11" t="str">
        <x:v>DFARS</x:v>
      </x:c>
      <x:c r="D127" s="11" t="str">
        <x:v>252.225-7016</x:v>
      </x:c>
      <x:c r="E127" s="11" t="str">
        <x:v>Restriction On Acquisition Of Ball and Roller Bearings</x:v>
      </x:c>
      <x:c r="F127" s="11" t="str">
        <x:v>JUN 2011</x:v>
      </x:c>
      <x:c r="G127" s="11" t="str"/>
      <x:c r="H127" s="11" t="str"/>
      <x:c r="I127" s="11" t="str">
        <x:v>BY REFERENCE</x:v>
      </x:c>
      <x:c r="J127" s="11" t="str">
        <x:v>SF1442 Award_N4019223D2803.pdf</x:v>
      </x:c>
      <x:c r="K127" s="11" t="n">
        <x:v>11</x:v>
      </x:c>
      <x:c r="L127" s="11" t="str">
        <x:v>252.225-7016 Restriction On Acquisition Of Ball and Roller Bearings JUN 2011</x:v>
      </x:c>
      <x:c r="M127" s="11" t="str">
        <x:v>Extracted</x:v>
      </x:c>
    </x:row>
    <x:row r="128">
      <x:c r="A128" s="11" t="str">
        <x:v>CLS-0125</x:v>
      </x:c>
      <x:c r="B128" s="11" t="str">
        <x:v>CTR-N40192-23-D-2803</x:v>
      </x:c>
      <x:c r="C128" s="11" t="str">
        <x:v>DFARS</x:v>
      </x:c>
      <x:c r="D128" s="11" t="str">
        <x:v>252.225-7017</x:v>
      </x:c>
      <x:c r="E128" s="11" t="str">
        <x:v>Photovoltaic Devices (DEVIATION 2020-O0019)</x:v>
      </x:c>
      <x:c r="F128" s="11" t="str">
        <x:v>JUL 2020</x:v>
      </x:c>
      <x:c r="G128" s="11" t="str"/>
      <x:c r="H128" s="11" t="str">
        <x:v>Yes</x:v>
      </x:c>
      <x:c r="I128" s="11" t="str">
        <x:v>BY REFERENCE</x:v>
      </x:c>
      <x:c r="J128" s="11" t="str">
        <x:v>SF1442 Award_N4019223D2803.pdf</x:v>
      </x:c>
      <x:c r="K128" s="11" t="n">
        <x:v>11</x:v>
      </x:c>
      <x:c r="L128" s="11" t="str">
        <x:v>252.225-7017 (Dev) Photovoltaic Devices (DEVIATION 2020-O0019) JUL 2020</x:v>
      </x:c>
      <x:c r="M128" s="11" t="str">
        <x:v>Extracted</x:v>
      </x:c>
    </x:row>
    <x:row r="129">
      <x:c r="A129" s="11" t="str">
        <x:v>CLS-0126</x:v>
      </x:c>
      <x:c r="B129" s="11" t="str">
        <x:v>CTR-N40192-23-D-2803</x:v>
      </x:c>
      <x:c r="C129" s="11" t="str">
        <x:v>DFARS</x:v>
      </x:c>
      <x:c r="D129" s="11" t="str">
        <x:v>252.225-7030</x:v>
      </x:c>
      <x:c r="E129" s="11" t="str">
        <x:v>Restriction On Acquisition Of Carbon, Alloy, And Armor</x:v>
      </x:c>
      <x:c r="F129" s="11" t="str">
        <x:v>DEC 2006</x:v>
      </x:c>
      <x:c r="G129" s="11" t="str"/>
      <x:c r="H129" s="11" t="str"/>
      <x:c r="I129" s="11" t="str">
        <x:v>BY REFERENCE</x:v>
      </x:c>
      <x:c r="J129" s="11" t="str">
        <x:v>SF1442 Award_N4019223D2803.pdf</x:v>
      </x:c>
      <x:c r="K129" s="11" t="n">
        <x:v>11</x:v>
      </x:c>
      <x:c r="L129" s="11" t="str">
        <x:v>252.225-7030 Restriction On Acquisition Of Carbon, Alloy, And Armor DEC 2006</x:v>
      </x:c>
      <x:c r="M129" s="11" t="str">
        <x:v>Extracted</x:v>
      </x:c>
    </x:row>
    <x:row r="130">
      <x:c r="A130" s="11" t="str">
        <x:v>CLS-0127</x:v>
      </x:c>
      <x:c r="B130" s="11" t="str">
        <x:v>CTR-N40192-23-D-2803</x:v>
      </x:c>
      <x:c r="C130" s="11" t="str">
        <x:v>DFARS</x:v>
      </x:c>
      <x:c r="D130" s="11" t="str">
        <x:v>252.225-7048</x:v>
      </x:c>
      <x:c r="E130" s="11" t="str">
        <x:v>Export-Controlled Items</x:v>
      </x:c>
      <x:c r="F130" s="11" t="str">
        <x:v>JUN 2013</x:v>
      </x:c>
      <x:c r="G130" s="11" t="str"/>
      <x:c r="H130" s="11" t="str"/>
      <x:c r="I130" s="11" t="str">
        <x:v>BY REFERENCE</x:v>
      </x:c>
      <x:c r="J130" s="11" t="str">
        <x:v>SF1442 Award_N4019223D2803.pdf</x:v>
      </x:c>
      <x:c r="K130" s="11" t="n">
        <x:v>11</x:v>
      </x:c>
      <x:c r="L130" s="11" t="str">
        <x:v>252.225-7048 Export-Controlled Items JUN 2013</x:v>
      </x:c>
      <x:c r="M130" s="11" t="str">
        <x:v>Extracted</x:v>
      </x:c>
    </x:row>
    <x:row r="131">
      <x:c r="A131" s="11" t="str">
        <x:v>CLS-0128</x:v>
      </x:c>
      <x:c r="B131" s="11" t="str">
        <x:v>CTR-N40192-23-D-2803</x:v>
      </x:c>
      <x:c r="C131" s="11" t="str">
        <x:v>DFARS</x:v>
      </x:c>
      <x:c r="D131" s="11" t="str">
        <x:v>252.227-7022</x:v>
      </x:c>
      <x:c r="E131" s="11" t="str">
        <x:v>Government Rights (Unlimited)</x:v>
      </x:c>
      <x:c r="F131" s="11" t="str">
        <x:v>MAR 1979</x:v>
      </x:c>
      <x:c r="G131" s="11" t="str"/>
      <x:c r="H131" s="11" t="str"/>
      <x:c r="I131" s="11" t="str">
        <x:v>BY REFERENCE</x:v>
      </x:c>
      <x:c r="J131" s="11" t="str">
        <x:v>SF1442 Award_N4019223D2803.pdf</x:v>
      </x:c>
      <x:c r="K131" s="11" t="n">
        <x:v>11</x:v>
      </x:c>
      <x:c r="L131" s="11" t="str">
        <x:v>252.227-7022 Government Rights (Unlimited) MAR 1979</x:v>
      </x:c>
      <x:c r="M131" s="11" t="str">
        <x:v>Extracted</x:v>
      </x:c>
    </x:row>
    <x:row r="132">
      <x:c r="A132" s="11" t="str">
        <x:v>CLS-0129</x:v>
      </x:c>
      <x:c r="B132" s="11" t="str">
        <x:v>CTR-N40192-23-D-2803</x:v>
      </x:c>
      <x:c r="C132" s="11" t="str">
        <x:v>DFARS</x:v>
      </x:c>
      <x:c r="D132" s="11" t="str">
        <x:v>252.227-7025</x:v>
      </x:c>
      <x:c r="E132" s="11" t="str">
        <x:v>Limitations on the Use or Disclosure of Government-</x:v>
      </x:c>
      <x:c r="F132" s="11" t="str">
        <x:v>MAY 2013</x:v>
      </x:c>
      <x:c r="G132" s="11" t="str"/>
      <x:c r="H132" s="11" t="str"/>
      <x:c r="I132" s="11" t="str">
        <x:v>BY REFERENCE</x:v>
      </x:c>
      <x:c r="J132" s="11" t="str">
        <x:v>SF1442 Award_N4019223D2803.pdf</x:v>
      </x:c>
      <x:c r="K132" s="11" t="n">
        <x:v>11</x:v>
      </x:c>
      <x:c r="L132" s="11" t="str">
        <x:v>252.227-7025 Limitations on the Use or Disclosure of Government- MAY 2013</x:v>
      </x:c>
      <x:c r="M132" s="11" t="str">
        <x:v>Extracted</x:v>
      </x:c>
    </x:row>
    <x:row r="133">
      <x:c r="A133" s="11" t="str">
        <x:v>CLS-0130</x:v>
      </x:c>
      <x:c r="B133" s="11" t="str">
        <x:v>CTR-N40192-23-D-2803</x:v>
      </x:c>
      <x:c r="C133" s="11" t="str">
        <x:v>DFARS</x:v>
      </x:c>
      <x:c r="D133" s="11" t="str">
        <x:v>252.227-7033</x:v>
      </x:c>
      <x:c r="E133" s="11" t="str">
        <x:v>Rights in Shop Drawings</x:v>
      </x:c>
      <x:c r="F133" s="11" t="str">
        <x:v>APR 1966</x:v>
      </x:c>
      <x:c r="G133" s="11" t="str"/>
      <x:c r="H133" s="11" t="str"/>
      <x:c r="I133" s="11" t="str">
        <x:v>BY REFERENCE</x:v>
      </x:c>
      <x:c r="J133" s="11" t="str">
        <x:v>SF1442 Award_N4019223D2803.pdf</x:v>
      </x:c>
      <x:c r="K133" s="11" t="n">
        <x:v>11</x:v>
      </x:c>
      <x:c r="L133" s="11" t="str">
        <x:v>252.227-7033 Rights in Shop Drawings APR 1966</x:v>
      </x:c>
      <x:c r="M133" s="11" t="str">
        <x:v>Extracted</x:v>
      </x:c>
    </x:row>
    <x:row r="134">
      <x:c r="A134" s="11" t="str">
        <x:v>CLS-0131</x:v>
      </x:c>
      <x:c r="B134" s="11" t="str">
        <x:v>CTR-N40192-23-D-2803</x:v>
      </x:c>
      <x:c r="C134" s="11" t="str">
        <x:v>DFARS</x:v>
      </x:c>
      <x:c r="D134" s="11" t="str">
        <x:v>252.231-7000</x:v>
      </x:c>
      <x:c r="E134" s="11" t="str">
        <x:v>Supplemental Cost Principles</x:v>
      </x:c>
      <x:c r="F134" s="11" t="str">
        <x:v>DEC 1991</x:v>
      </x:c>
      <x:c r="G134" s="11" t="str"/>
      <x:c r="H134" s="11" t="str"/>
      <x:c r="I134" s="11" t="str">
        <x:v>BY REFERENCE</x:v>
      </x:c>
      <x:c r="J134" s="11" t="str">
        <x:v>SF1442 Award_N4019223D2803.pdf</x:v>
      </x:c>
      <x:c r="K134" s="11" t="n">
        <x:v>11</x:v>
      </x:c>
      <x:c r="L134" s="11" t="str">
        <x:v>252.231-7000 Supplemental Cost Principles DEC 1991</x:v>
      </x:c>
      <x:c r="M134" s="11" t="str">
        <x:v>Extracted</x:v>
      </x:c>
    </x:row>
    <x:row r="135">
      <x:c r="A135" s="11" t="str">
        <x:v>CLS-0132</x:v>
      </x:c>
      <x:c r="B135" s="11" t="str">
        <x:v>CTR-N40192-23-D-2803</x:v>
      </x:c>
      <x:c r="C135" s="11" t="str">
        <x:v>DFARS</x:v>
      </x:c>
      <x:c r="D135" s="11" t="str">
        <x:v>252.232-7010</x:v>
      </x:c>
      <x:c r="E135" s="11" t="str">
        <x:v>Levies on Contract Payments</x:v>
      </x:c>
      <x:c r="F135" s="11" t="str">
        <x:v>DEC 2006</x:v>
      </x:c>
      <x:c r="G135" s="11" t="str"/>
      <x:c r="H135" s="11" t="str"/>
      <x:c r="I135" s="11" t="str">
        <x:v>BY REFERENCE</x:v>
      </x:c>
      <x:c r="J135" s="11" t="str">
        <x:v>SF1442 Award_N4019223D2803.pdf</x:v>
      </x:c>
      <x:c r="K135" s="11" t="n">
        <x:v>11</x:v>
      </x:c>
      <x:c r="L135" s="11" t="str">
        <x:v>252.232-7010 Levies on Contract Payments DEC 2006</x:v>
      </x:c>
      <x:c r="M135" s="11" t="str">
        <x:v>Extracted</x:v>
      </x:c>
    </x:row>
    <x:row r="136">
      <x:c r="A136" s="11" t="str">
        <x:v>CLS-0133</x:v>
      </x:c>
      <x:c r="B136" s="11" t="str">
        <x:v>CTR-N40192-23-D-2803</x:v>
      </x:c>
      <x:c r="C136" s="11" t="str">
        <x:v>DFARS</x:v>
      </x:c>
      <x:c r="D136" s="11" t="str">
        <x:v>252.236-7000</x:v>
      </x:c>
      <x:c r="E136" s="11" t="str">
        <x:v>Modification Proposals-Price Breakdown</x:v>
      </x:c>
      <x:c r="F136" s="11" t="str">
        <x:v>DEC 1991</x:v>
      </x:c>
      <x:c r="G136" s="11" t="str"/>
      <x:c r="H136" s="11" t="str"/>
      <x:c r="I136" s="11" t="str">
        <x:v>BY REFERENCE</x:v>
      </x:c>
      <x:c r="J136" s="11" t="str">
        <x:v>SF1442 Award_N4019223D2803.pdf</x:v>
      </x:c>
      <x:c r="K136" s="11" t="n">
        <x:v>11</x:v>
      </x:c>
      <x:c r="L136" s="11" t="str">
        <x:v>252.236-7000 Modification Proposals-Price Breakdown DEC 1991</x:v>
      </x:c>
      <x:c r="M136" s="11" t="str">
        <x:v>Extracted</x:v>
      </x:c>
    </x:row>
    <x:row r="137">
      <x:c r="A137" s="11" t="str">
        <x:v>CLS-0134</x:v>
      </x:c>
      <x:c r="B137" s="11" t="str">
        <x:v>CTR-N40192-23-D-2803</x:v>
      </x:c>
      <x:c r="C137" s="11" t="str">
        <x:v>DFARS</x:v>
      </x:c>
      <x:c r="D137" s="11" t="str">
        <x:v>252.236-7001</x:v>
      </x:c>
      <x:c r="E137" s="11" t="str">
        <x:v>Contract Drawings, and Specifications</x:v>
      </x:c>
      <x:c r="F137" s="11" t="str">
        <x:v>AUG 2000</x:v>
      </x:c>
      <x:c r="G137" s="11" t="str"/>
      <x:c r="H137" s="11" t="str"/>
      <x:c r="I137" s="11" t="str">
        <x:v>BY REFERENCE</x:v>
      </x:c>
      <x:c r="J137" s="11" t="str">
        <x:v>SF1442 Award_N4019223D2803.pdf</x:v>
      </x:c>
      <x:c r="K137" s="11" t="n">
        <x:v>11</x:v>
      </x:c>
      <x:c r="L137" s="11" t="str">
        <x:v>252.236-7001 Contract Drawings, and Specifications AUG 2000</x:v>
      </x:c>
      <x:c r="M137" s="11" t="str">
        <x:v>Extracted</x:v>
      </x:c>
    </x:row>
    <x:row r="138">
      <x:c r="A138" s="11" t="str">
        <x:v>CLS-0135</x:v>
      </x:c>
      <x:c r="B138" s="11" t="str">
        <x:v>CTR-N40192-23-D-2803</x:v>
      </x:c>
      <x:c r="C138" s="11" t="str">
        <x:v>DFARS</x:v>
      </x:c>
      <x:c r="D138" s="11" t="str">
        <x:v>252.236-7002</x:v>
      </x:c>
      <x:c r="E138" s="11" t="str">
        <x:v>Obstruction of Navigable Waterways</x:v>
      </x:c>
      <x:c r="F138" s="11" t="str">
        <x:v>DEC 1991</x:v>
      </x:c>
      <x:c r="G138" s="11" t="str"/>
      <x:c r="H138" s="11" t="str"/>
      <x:c r="I138" s="11" t="str">
        <x:v>BY REFERENCE</x:v>
      </x:c>
      <x:c r="J138" s="11" t="str">
        <x:v>SF1442 Award_N4019223D2803.pdf</x:v>
      </x:c>
      <x:c r="K138" s="11" t="n">
        <x:v>11</x:v>
      </x:c>
      <x:c r="L138" s="11" t="str">
        <x:v>252.236-7002 Obstruction of Navigable Waterways DEC 1991</x:v>
      </x:c>
      <x:c r="M138" s="11" t="str">
        <x:v>Extracted</x:v>
      </x:c>
    </x:row>
    <x:row r="139">
      <x:c r="A139" s="11" t="str">
        <x:v>CLS-0136</x:v>
      </x:c>
      <x:c r="B139" s="11" t="str">
        <x:v>CTR-N40192-23-D-2803</x:v>
      </x:c>
      <x:c r="C139" s="11" t="str">
        <x:v>DFARS</x:v>
      </x:c>
      <x:c r="D139" s="11" t="str">
        <x:v>252.236-7005</x:v>
      </x:c>
      <x:c r="E139" s="11" t="str">
        <x:v>Airfield Safety Precautions</x:v>
      </x:c>
      <x:c r="F139" s="11" t="str">
        <x:v>DEC 1991</x:v>
      </x:c>
      <x:c r="G139" s="11" t="str"/>
      <x:c r="H139" s="11" t="str"/>
      <x:c r="I139" s="11" t="str">
        <x:v>BY REFERENCE</x:v>
      </x:c>
      <x:c r="J139" s="11" t="str">
        <x:v>SF1442 Award_N4019223D2803.pdf</x:v>
      </x:c>
      <x:c r="K139" s="11" t="n">
        <x:v>11</x:v>
      </x:c>
      <x:c r="L139" s="11" t="str">
        <x:v>252.236-7005 Airfield Safety Precautions DEC 1991</x:v>
      </x:c>
      <x:c r="M139" s="11" t="str">
        <x:v>Extracted</x:v>
      </x:c>
    </x:row>
    <x:row r="140">
      <x:c r="A140" s="11" t="str">
        <x:v>CLS-0137</x:v>
      </x:c>
      <x:c r="B140" s="11" t="str">
        <x:v>CTR-N40192-23-D-2803</x:v>
      </x:c>
      <x:c r="C140" s="11" t="str">
        <x:v>DFARS</x:v>
      </x:c>
      <x:c r="D140" s="11" t="str">
        <x:v>252.243-7001</x:v>
      </x:c>
      <x:c r="E140" s="11" t="str">
        <x:v>Pricing Of Contract Modifications</x:v>
      </x:c>
      <x:c r="F140" s="11" t="str">
        <x:v>DEC 1991</x:v>
      </x:c>
      <x:c r="G140" s="11" t="str"/>
      <x:c r="H140" s="11" t="str"/>
      <x:c r="I140" s="11" t="str">
        <x:v>BY REFERENCE</x:v>
      </x:c>
      <x:c r="J140" s="11" t="str">
        <x:v>SF1442 Award_N4019223D2803.pdf</x:v>
      </x:c>
      <x:c r="K140" s="11" t="n">
        <x:v>11</x:v>
      </x:c>
      <x:c r="L140" s="11" t="str">
        <x:v>252.243-7001 Pricing Of Contract Modifications DEC 1991</x:v>
      </x:c>
      <x:c r="M140" s="11" t="str">
        <x:v>Extracted</x:v>
      </x:c>
    </x:row>
    <x:row r="141">
      <x:c r="A141" s="11" t="str">
        <x:v>CLS-0138</x:v>
      </x:c>
      <x:c r="B141" s="11" t="str">
        <x:v>CTR-N40192-23-D-2803</x:v>
      </x:c>
      <x:c r="C141" s="11" t="str">
        <x:v>DFARS</x:v>
      </x:c>
      <x:c r="D141" s="11" t="str">
        <x:v>252.243-7002</x:v>
      </x:c>
      <x:c r="E141" s="11" t="str">
        <x:v>Requests for Equitable Adjustment</x:v>
      </x:c>
      <x:c r="F141" s="11" t="str">
        <x:v>DEC 2012</x:v>
      </x:c>
      <x:c r="G141" s="11" t="str"/>
      <x:c r="H141" s="11" t="str"/>
      <x:c r="I141" s="11" t="str">
        <x:v>BY REFERENCE</x:v>
      </x:c>
      <x:c r="J141" s="11" t="str">
        <x:v>SF1442 Award_N4019223D2803.pdf</x:v>
      </x:c>
      <x:c r="K141" s="11" t="n">
        <x:v>11</x:v>
      </x:c>
      <x:c r="L141" s="11" t="str">
        <x:v>252.243-7002 Requests for Equitable Adjustment DEC 2012</x:v>
      </x:c>
      <x:c r="M141" s="11" t="str">
        <x:v>Extracted</x:v>
      </x:c>
    </x:row>
    <x:row r="142">
      <x:c r="A142" s="11" t="str">
        <x:v>CLS-0139</x:v>
      </x:c>
      <x:c r="B142" s="11" t="str">
        <x:v>CTR-N40192-23-D-2803</x:v>
      </x:c>
      <x:c r="C142" s="11" t="str">
        <x:v>DFARS</x:v>
      </x:c>
      <x:c r="D142" s="11" t="str">
        <x:v>252.243-7999</x:v>
      </x:c>
      <x:c r="E142" s="11" t="str">
        <x:v>Section 3610 Reimbursement. (DEVIATION 2020-O0021)</x:v>
      </x:c>
      <x:c r="F142" s="11" t="str">
        <x:v>AUG 2020</x:v>
      </x:c>
      <x:c r="G142" s="11" t="str"/>
      <x:c r="H142" s="11" t="str">
        <x:v>Yes</x:v>
      </x:c>
      <x:c r="I142" s="11" t="str">
        <x:v>BY REFERENCE</x:v>
      </x:c>
      <x:c r="J142" s="11" t="str">
        <x:v>SF1442 Award_N4019223D2803.pdf</x:v>
      </x:c>
      <x:c r="K142" s="11" t="n">
        <x:v>12</x:v>
      </x:c>
      <x:c r="L142" s="11" t="str">
        <x:v>252.243-7999 (Dev) Section 3610 Reimbursement. (DEVIATION 2020-O0021) AUG 2020</x:v>
      </x:c>
      <x:c r="M142" s="11" t="str">
        <x:v>Extracted</x:v>
      </x:c>
    </x:row>
    <x:row r="143">
      <x:c r="A143" s="11" t="str">
        <x:v>CLS-0140</x:v>
      </x:c>
      <x:c r="B143" s="11" t="str">
        <x:v>CTR-N40192-23-D-2803</x:v>
      </x:c>
      <x:c r="C143" s="11" t="str">
        <x:v>DFARS</x:v>
      </x:c>
      <x:c r="D143" s="11" t="str">
        <x:v>252.244-7000</x:v>
      </x:c>
      <x:c r="E143" s="11" t="str">
        <x:v>Subcontracts for Commercial Items</x:v>
      </x:c>
      <x:c r="F143" s="11" t="str">
        <x:v>JAN 2021</x:v>
      </x:c>
      <x:c r="G143" s="11" t="str"/>
      <x:c r="H143" s="11" t="str"/>
      <x:c r="I143" s="11" t="str">
        <x:v>BY REFERENCE</x:v>
      </x:c>
      <x:c r="J143" s="11" t="str">
        <x:v>SF1442 Award_N4019223D2803.pdf</x:v>
      </x:c>
      <x:c r="K143" s="11" t="n">
        <x:v>12</x:v>
      </x:c>
      <x:c r="L143" s="11" t="str">
        <x:v>252.244-7000 Subcontracts for Commercial Items JAN 2021</x:v>
      </x:c>
      <x:c r="M143" s="11" t="str">
        <x:v>Extracted</x:v>
      </x:c>
    </x:row>
    <x:row r="144">
      <x:c r="A144" s="11" t="str">
        <x:v>CLS-0141</x:v>
      </x:c>
      <x:c r="B144" s="11" t="str">
        <x:v>CTR-N40192-23-D-2803</x:v>
      </x:c>
      <x:c r="C144" s="11" t="str">
        <x:v>DFARS</x:v>
      </x:c>
      <x:c r="D144" s="11" t="str">
        <x:v>252.246-7004</x:v>
      </x:c>
      <x:c r="E144" s="11" t="str">
        <x:v>Safety of Facilities, Infrastructure, and Equipment for</x:v>
      </x:c>
      <x:c r="F144" s="11" t="str">
        <x:v>OCT 2010</x:v>
      </x:c>
      <x:c r="G144" s="11" t="str"/>
      <x:c r="H144" s="11" t="str"/>
      <x:c r="I144" s="11" t="str">
        <x:v>BY REFERENCE</x:v>
      </x:c>
      <x:c r="J144" s="11" t="str">
        <x:v>SF1442 Award_N4019223D2803.pdf</x:v>
      </x:c>
      <x:c r="K144" s="11" t="n">
        <x:v>12</x:v>
      </x:c>
      <x:c r="L144" s="11" t="str">
        <x:v>252.246-7004 Safety of Facilities, Infrastructure, and Equipment for OCT 2010</x:v>
      </x:c>
      <x:c r="M144" s="11" t="str">
        <x:v>Extracted</x:v>
      </x:c>
    </x:row>
    <x:row r="145">
      <x:c r="A145" s="11" t="str">
        <x:v>CLS-0142</x:v>
      </x:c>
      <x:c r="B145" s="11" t="str">
        <x:v>CTR-N40192-23-D-2803</x:v>
      </x:c>
      <x:c r="C145" s="11" t="str">
        <x:v>DFARS</x:v>
      </x:c>
      <x:c r="D145" s="11" t="str">
        <x:v>252.247-7023</x:v>
      </x:c>
      <x:c r="E145" s="11" t="str">
        <x:v>Transportation of Supplies by Sea</x:v>
      </x:c>
      <x:c r="F145" s="11" t="str">
        <x:v>FEB 2019</x:v>
      </x:c>
      <x:c r="G145" s="11" t="str"/>
      <x:c r="H145" s="11" t="str"/>
      <x:c r="I145" s="11" t="str">
        <x:v>BY REFERENCE</x:v>
      </x:c>
      <x:c r="J145" s="11" t="str">
        <x:v>SF1442 Award_N4019223D2803.pdf</x:v>
      </x:c>
      <x:c r="K145" s="11" t="n">
        <x:v>12</x:v>
      </x:c>
      <x:c r="L145" s="11" t="str">
        <x:v>252.247-7023 Transportation of Supplies by Sea FEB 2019</x:v>
      </x:c>
      <x:c r="M145" s="11" t="str">
        <x:v>Extracted</x:v>
      </x:c>
    </x:row>
    <x:row r="146">
      <x:c r="A146" s="11" t="str">
        <x:v>CLS-0143</x:v>
      </x:c>
      <x:c r="B146" s="11" t="str">
        <x:v>CTR-N40192-23-D-2803</x:v>
      </x:c>
      <x:c r="C146" s="11" t="str">
        <x:v>DFARS</x:v>
      </x:c>
      <x:c r="D146" s="11" t="str">
        <x:v>252.251-7000</x:v>
      </x:c>
      <x:c r="E146" s="11" t="str">
        <x:v>Ordering From Government Supply Sources</x:v>
      </x:c>
      <x:c r="F146" s="11" t="str">
        <x:v>AUG 2012</x:v>
      </x:c>
      <x:c r="G146" s="11" t="str"/>
      <x:c r="H146" s="11" t="str"/>
      <x:c r="I146" s="11" t="str">
        <x:v>BY REFERENCE</x:v>
      </x:c>
      <x:c r="J146" s="11" t="str">
        <x:v>SF1442 Award_N4019223D2803.pdf</x:v>
      </x:c>
      <x:c r="K146" s="11" t="n">
        <x:v>12</x:v>
      </x:c>
      <x:c r="L146" s="11" t="str">
        <x:v>252.251-7000 Ordering From Government Supply Sources AUG 2012</x:v>
      </x:c>
      <x:c r="M146" s="11" t="str">
        <x:v>Extracted</x:v>
      </x:c>
    </x:row>
  </x:sheetData>
  <x:mergeCells>
    <x:mergeCell ref="A1:M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34" hidden="0" customWidth="1"/>
    <x:col min="5" max="5" width="34" hidden="0" customWidth="1"/>
    <x:col min="6" max="6" width="10" hidden="0" customWidth="1"/>
    <x:col min="7" max="7" width="64" hidden="0" customWidth="1"/>
    <x:col min="8" max="8" width="20" hidden="0" customWidth="1"/>
  </x:cols>
  <x:sheetData>
    <x:row r="1" ht="26" customHeight="1">
      <x:c r="A1" s="27" t="str">
        <x:v>09 FAR References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3" ht="30" customHeight="1">
      <x:c r="A3" s="32" t="str">
        <x:v>Reference ID</x:v>
      </x:c>
      <x:c r="B3" s="32" t="str">
        <x:v>Contract Record ID</x:v>
      </x:c>
      <x:c r="C3" s="32" t="str">
        <x:v>Reference</x:v>
      </x:c>
      <x:c r="D3" s="32" t="str">
        <x:v>Context</x:v>
      </x:c>
      <x:c r="E3" s="32" t="str">
        <x:v>Source Document</x:v>
      </x:c>
      <x:c r="F3" s="32" t="str">
        <x:v>Source Page</x:v>
      </x:c>
      <x:c r="G3" s="32" t="str">
        <x:v>Raw Evidence</x:v>
      </x:c>
      <x:c r="H3" s="32" t="str">
        <x:v>Classification</x:v>
      </x:c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11" t="str">
        <x:v>FARREF-001</x:v>
      </x:c>
      <x:c r="B4" s="11" t="str">
        <x:v>CTR-N40192-23-D-2803</x:v>
      </x:c>
      <x:c r="C4" s="11" t="str">
        <x:v>FAR 48 CFR 53.236-1(e)</x:v>
      </x:c>
      <x:c r="D4" s="11" t="str">
        <x:v>SF1442 form prescription</x:v>
      </x:c>
      <x:c r="E4" s="11" t="str">
        <x:v>SF1442 Award_N4019223D2803.pdf</x:v>
      </x:c>
      <x:c r="F4" s="11" t="n">
        <x:v>1</x:v>
      </x:c>
      <x:c r="G4" s="11" t="str">
        <x:v>STANDARD FORM 1442 ... Prescribed by GSA FAR (48 CFR) 53.236-1(e)</x:v>
      </x:c>
      <x:c r="H4" s="11" t="str">
        <x:v>Form Reference</x:v>
      </x:c>
    </x:row>
    <x:row r="5">
      <x:c r="A5" s="11" t="str">
        <x:v>FARREF-002</x:v>
      </x:c>
      <x:c r="B5" s="11" t="str">
        <x:v>CTR-N40192-23-D-2803</x:v>
      </x:c>
      <x:c r="C5" s="11" t="str">
        <x:v>FAR subpart 28.3</x:v>
      </x:c>
      <x:c r="D5" s="11" t="str">
        <x:v>Insurance requirements</x:v>
      </x:c>
      <x:c r="E5" s="11" t="str">
        <x:v>SB-DBMACC Notice of Award_29SEP2023 N40192-23-D-2803 CCSL.pdf</x:v>
      </x:c>
      <x:c r="F5" s="11" t="n">
        <x:v>1</x:v>
      </x:c>
      <x:c r="G5" s="11" t="str">
        <x:v>insurance coverage specified in FAR subpart 28.3</x:v>
      </x:c>
      <x:c r="H5" s="11" t="str">
        <x:v>Regulatory Reference</x:v>
      </x:c>
    </x:row>
    <x:row r="6">
      <x:c r="A6" s="11" t="str">
        <x:v>FARREF-003</x:v>
      </x:c>
      <x:c r="B6" s="11" t="str">
        <x:v>CTR-N40192-23-D-2803</x:v>
      </x:c>
      <x:c r="C6" s="11" t="str">
        <x:v>FAR 52.209-9</x:v>
      </x:c>
      <x:c r="D6" s="11" t="str">
        <x:v>FAPIIS / responsibility matters</x:v>
      </x:c>
      <x:c r="E6" s="11" t="str">
        <x:v>SF1442 Award_N4019223D2803.pdf</x:v>
      </x:c>
      <x:c r="F6" s="11" t="n">
        <x:v>1</x:v>
      </x:c>
      <x:c r="G6" s="11" t="str">
        <x:v>Subject to FAR 9.104-6 ... and FAR 52.209-9</x:v>
      </x:c>
      <x:c r="H6" s="11" t="str">
        <x:v>Regulatory Reference</x:v>
      </x:c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52" hidden="0" customWidth="1"/>
    <x:col min="4" max="4" width="22" hidden="0" customWidth="1"/>
    <x:col min="5" max="5" width="16" hidden="0" customWidth="1"/>
    <x:col min="6" max="6" width="10" hidden="0" customWidth="1"/>
    <x:col min="7" max="7" width="60" hidden="0" customWidth="1"/>
  </x:cols>
  <x:sheetData>
    <x:row r="1" ht="26" customHeight="1">
      <x:c r="A1" s="27" t="str">
        <x:v>10 Documents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3" ht="30" customHeight="1">
      <x:c r="A3" s="32" t="str">
        <x:v>Document ID</x:v>
      </x:c>
      <x:c r="B3" s="32" t="str">
        <x:v>Contract Record ID</x:v>
      </x:c>
      <x:c r="C3" s="32" t="str">
        <x:v>Document Name</x:v>
      </x:c>
      <x:c r="D3" s="32" t="str">
        <x:v>Document Type</x:v>
      </x:c>
      <x:c r="E3" s="32" t="str">
        <x:v>Portfolio Embedded</x:v>
      </x:c>
      <x:c r="F3" s="32" t="str">
        <x:v>Pages</x:v>
      </x:c>
      <x:c r="G3" s="32" t="str">
        <x:v>SHA-256</x:v>
      </x:c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11" t="str">
        <x:v>DOC-001</x:v>
      </x:c>
      <x:c r="B4" s="11" t="str">
        <x:v>CTR-N40192-23-D-2803</x:v>
      </x:c>
      <x:c r="C4" s="11" t="str">
        <x:v>N40192-23-D-2803 CCSL SBMACC response to award annoucement.pdf</x:v>
      </x:c>
      <x:c r="D4" s="11" t="str">
        <x:v>Award Acknowledgement</x:v>
      </x:c>
      <x:c r="E4" s="11" t="str">
        <x:v>Yes</x:v>
      </x:c>
      <x:c r="F4" s="11" t="n">
        <x:v>2</x:v>
      </x:c>
      <x:c r="G4" s="11" t="str">
        <x:v>f34f0f443b36dd496dede89874218d209f68528537e585bc800a2973142d3be5</x:v>
      </x:c>
    </x:row>
    <x:row r="5">
      <x:c r="A5" s="11" t="str">
        <x:v>DOC-002</x:v>
      </x:c>
      <x:c r="B5" s="11" t="str">
        <x:v>CTR-N40192-23-D-2803</x:v>
      </x:c>
      <x:c r="C5" s="11" t="str">
        <x:v>SB-DBMACC Notice of Award_29SEP2023 N40192-23-D-2803 CCSL.pdf</x:v>
      </x:c>
      <x:c r="D5" s="11" t="str">
        <x:v>Award Notice</x:v>
      </x:c>
      <x:c r="E5" s="11" t="str">
        <x:v>Yes</x:v>
      </x:c>
      <x:c r="F5" s="11" t="n">
        <x:v>3</x:v>
      </x:c>
      <x:c r="G5" s="11" t="str">
        <x:v>c458186d508facc6705706df8ba2cea4c2408e5d3277be1e97ea8bdbb6af229c</x:v>
      </x:c>
    </x:row>
    <x:row r="6">
      <x:c r="A6" s="11" t="str">
        <x:v>DOC-003</x:v>
      </x:c>
      <x:c r="B6" s="11" t="str">
        <x:v>CTR-N40192-23-D-2803</x:v>
      </x:c>
      <x:c r="C6" s="11" t="str">
        <x:v>SF1442 Award_N4019223D2803.pdf</x:v>
      </x:c>
      <x:c r="D6" s="11" t="str">
        <x:v>SF1442 Award</x:v>
      </x:c>
      <x:c r="E6" s="11" t="str">
        <x:v>Yes</x:v>
      </x:c>
      <x:c r="F6" s="11" t="n">
        <x:v>33</x:v>
      </x:c>
      <x:c r="G6" s="11" t="str">
        <x:v>72a1bd73f1ce7d7def102c6481dd0a8328f814521123cd35069132e1eba74bd0</x:v>
      </x:c>
    </x:row>
  </x:sheetData>
  <x:mergeCells>
    <x:mergeCell ref="A1:G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28" hidden="0" customWidth="1"/>
    <x:col min="5" max="5" width="30" hidden="0" customWidth="1"/>
    <x:col min="6" max="6" width="64" hidden="0" customWidth="1"/>
    <x:col min="7" max="7" width="44" hidden="0" customWidth="1"/>
    <x:col min="8" max="8" width="34" hidden="0" customWidth="1"/>
    <x:col min="9" max="9" width="10" hidden="0" customWidth="1"/>
    <x:col min="10" max="10" width="19" hidden="0" customWidth="1"/>
    <x:col min="11" max="11" width="50" hidden="0" customWidth="1"/>
  </x:cols>
  <x:sheetData>
    <x:row r="1" ht="26" customHeight="1">
      <x:c r="A1" s="27" t="str">
        <x:v>11 Evidence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3" ht="30" customHeight="1">
      <x:c r="A3" s="32" t="str">
        <x:v>Evidence ID</x:v>
      </x:c>
      <x:c r="B3" s="32" t="str">
        <x:v>Contract Record ID</x:v>
      </x:c>
      <x:c r="C3" s="32" t="str">
        <x:v>Entity</x:v>
      </x:c>
      <x:c r="D3" s="32" t="str">
        <x:v>Field</x:v>
      </x:c>
      <x:c r="E3" s="32" t="str">
        <x:v>Raw Label / Context</x:v>
      </x:c>
      <x:c r="F3" s="32" t="str">
        <x:v>Raw Source Value</x:v>
      </x:c>
      <x:c r="G3" s="32" t="str">
        <x:v>Canonical Value</x:v>
      </x:c>
      <x:c r="H3" s="32" t="str">
        <x:v>Source Document</x:v>
      </x:c>
      <x:c r="I3" s="32" t="str">
        <x:v>Source Page</x:v>
      </x:c>
      <x:c r="J3" s="32" t="str">
        <x:v>Status</x:v>
      </x:c>
      <x:c r="K3" s="32" t="str">
        <x:v>Notes</x:v>
      </x:c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11" t="str">
        <x:v>EVD-001</x:v>
      </x:c>
      <x:c r="B4" s="11" t="str">
        <x:v>CTR-N40192-23-D-2803</x:v>
      </x:c>
      <x:c r="C4" s="11" t="str">
        <x:v>Contract</x:v>
      </x:c>
      <x:c r="D4" s="11" t="str">
        <x:v>Contract Number</x:v>
      </x:c>
      <x:c r="E4" s="11" t="str">
        <x:v>4. CONTRACT NO.</x:v>
      </x:c>
      <x:c r="F4" s="11" t="str">
        <x:v>N4019223D2803</x:v>
      </x:c>
      <x:c r="G4" s="11" t="str">
        <x:v>N40192-23-D-2803</x:v>
      </x:c>
      <x:c r="H4" s="11" t="str">
        <x:v>SF1442 Award_N4019223D2803.pdf</x:v>
      </x:c>
      <x:c r="I4" s="11" t="n">
        <x:v>1</x:v>
      </x:c>
      <x:c r="J4" s="11" t="str">
        <x:v>EXTRACTED</x:v>
      </x:c>
      <x:c r="K4" s="11" t="str">
        <x:v>Hyphens normalized in canonical value</x:v>
      </x:c>
    </x:row>
    <x:row r="5">
      <x:c r="A5" s="11" t="str">
        <x:v>EVD-002</x:v>
      </x:c>
      <x:c r="B5" s="11" t="str">
        <x:v>CTR-N40192-23-D-2803</x:v>
      </x:c>
      <x:c r="C5" s="11" t="str">
        <x:v>Contract</x:v>
      </x:c>
      <x:c r="D5" s="11" t="str">
        <x:v>Solicitation Number</x:v>
      </x:c>
      <x:c r="E5" s="11" t="str">
        <x:v>1. SOLICITATION NO.</x:v>
      </x:c>
      <x:c r="F5" s="11" t="str">
        <x:v>N4019221R28000019 / REF N40192-21-R-2800</x:v>
      </x:c>
      <x:c r="G5" s="11" t="str">
        <x:v>N40192-21-R-2800</x:v>
      </x:c>
      <x:c r="H5" s="11" t="str">
        <x:v>SF1442 Award_N4019223D2803.pdf</x:v>
      </x:c>
      <x:c r="I5" s="11" t="n">
        <x:v>1</x:v>
      </x:c>
      <x:c r="J5" s="11" t="str">
        <x:v>REVIEWED</x:v>
      </x:c>
      <x:c r="K5" s="11" t="str">
        <x:v>Form identifier and referenced RFP both preserved</x:v>
      </x:c>
    </x:row>
    <x:row r="6">
      <x:c r="A6" s="11" t="str">
        <x:v>EVD-003</x:v>
      </x:c>
      <x:c r="B6" s="11" t="str">
        <x:v>CTR-N40192-23-D-2803</x:v>
      </x:c>
      <x:c r="C6" s="11" t="str">
        <x:v>Contract</x:v>
      </x:c>
      <x:c r="D6" s="11" t="str">
        <x:v>Solicitation Type</x:v>
      </x:c>
      <x:c r="E6" s="11" t="str">
        <x:v>2. TYPE OF SOLICITATION</x:v>
      </x:c>
      <x:c r="F6" s="11" t="str">
        <x:v>X NEGOTIATED (RFP)</x:v>
      </x:c>
      <x:c r="G6" s="11" t="str">
        <x:v>Negotiated (RFP)</x:v>
      </x:c>
      <x:c r="H6" s="11" t="str">
        <x:v>SF1442 Award_N4019223D2803.pdf</x:v>
      </x:c>
      <x:c r="I6" s="11" t="n">
        <x:v>1</x:v>
      </x:c>
      <x:c r="J6" s="11" t="str">
        <x:v>EXTRACTED</x:v>
      </x:c>
      <x:c r="K6" s="11" t="str"/>
    </x:row>
    <x:row r="7">
      <x:c r="A7" s="11" t="str">
        <x:v>EVD-004</x:v>
      </x:c>
      <x:c r="B7" s="11" t="str">
        <x:v>CTR-N40192-23-D-2803</x:v>
      </x:c>
      <x:c r="C7" s="11" t="str">
        <x:v>Contract</x:v>
      </x:c>
      <x:c r="D7" s="11" t="str">
        <x:v>Solicitation Method</x:v>
      </x:c>
      <x:c r="E7" s="11" t="str">
        <x:v>Block 10 title</x:v>
      </x:c>
      <x:c r="F7" s="11" t="str">
        <x:v>REQUEST FOR PROPOSAL N40192-21-R-2800</x:v>
      </x:c>
      <x:c r="G7" s="11" t="str">
        <x:v>Request for Proposal</x:v>
      </x:c>
      <x:c r="H7" s="11" t="str">
        <x:v>SF1442 Award_N4019223D2803.pdf</x:v>
      </x:c>
      <x:c r="I7" s="11" t="n">
        <x:v>1</x:v>
      </x:c>
      <x:c r="J7" s="11" t="str">
        <x:v>EXTRACTED</x:v>
      </x:c>
      <x:c r="K7" s="11" t="str">
        <x:v>Kept separate from solicitation type</x:v>
      </x:c>
    </x:row>
    <x:row r="8">
      <x:c r="A8" s="11" t="str">
        <x:v>EVD-005</x:v>
      </x:c>
      <x:c r="B8" s="11" t="str">
        <x:v>CTR-N40192-23-D-2803</x:v>
      </x:c>
      <x:c r="C8" s="11" t="str">
        <x:v>Contract</x:v>
      </x:c>
      <x:c r="D8" s="11" t="str">
        <x:v>Award Date</x:v>
      </x:c>
      <x:c r="E8" s="11" t="str">
        <x:v>31C. AWARD DATE</x:v>
      </x:c>
      <x:c r="F8" s="11" t="str">
        <x:v>29-Sep-2023</x:v>
      </x:c>
      <x:c r="G8" s="11" t="str">
        <x:v>2023-09-29</x:v>
      </x:c>
      <x:c r="H8" s="11" t="str">
        <x:v>SF1442 Award_N4019223D2803.pdf</x:v>
      </x:c>
      <x:c r="I8" s="11" t="n">
        <x:v>2</x:v>
      </x:c>
      <x:c r="J8" s="11" t="str">
        <x:v>EXTRACTED</x:v>
      </x:c>
      <x:c r="K8" s="11" t="str"/>
    </x:row>
    <x:row r="9">
      <x:c r="A9" s="11" t="str">
        <x:v>EVD-006</x:v>
      </x:c>
      <x:c r="B9" s="11" t="str">
        <x:v>CTR-N40192-23-D-2803</x:v>
      </x:c>
      <x:c r="C9" s="11" t="str">
        <x:v>Contract</x:v>
      </x:c>
      <x:c r="D9" s="11" t="str">
        <x:v>Award Amount</x:v>
      </x:c>
      <x:c r="E9" s="11" t="str">
        <x:v>22. AMOUNT</x:v>
      </x:c>
      <x:c r="F9" s="11" t="str">
        <x:v>$600,000,000.00</x:v>
      </x:c>
      <x:c r="G9" s="11" t="str">
        <x:v>600000000.00</x:v>
      </x:c>
      <x:c r="H9" s="11" t="str">
        <x:v>SF1442 Award_N4019223D2803.pdf</x:v>
      </x:c>
      <x:c r="I9" s="11" t="n">
        <x:v>2</x:v>
      </x:c>
      <x:c r="J9" s="11" t="str">
        <x:v>EXTRACTED</x:v>
      </x:c>
      <x:c r="K9" s="11" t="str">
        <x:v>Aggregate MACC ceiling; not treated as current obligation</x:v>
      </x:c>
    </x:row>
    <x:row r="10">
      <x:c r="A10" s="11" t="str">
        <x:v>EVD-007</x:v>
      </x:c>
      <x:c r="B10" s="11" t="str">
        <x:v>CTR-N40192-23-D-2803</x:v>
      </x:c>
      <x:c r="C10" s="11" t="str">
        <x:v>Organization</x:v>
      </x:c>
      <x:c r="D10" s="11" t="str">
        <x:v>Issued By</x:v>
      </x:c>
      <x:c r="E10" s="11" t="str">
        <x:v>7. ISSUED BY</x:v>
      </x:c>
      <x:c r="F10" s="11" t="str">
        <x:v>COMMANDING OFFICER - NAVFAC MARIANAS</x:v>
      </x:c>
      <x:c r="G10" s="11" t="str">
        <x:v>Commanding Officer - NAVFAC Marianas</x:v>
      </x:c>
      <x:c r="H10" s="11" t="str">
        <x:v>SF1442 Award_N4019223D2803.pdf</x:v>
      </x:c>
      <x:c r="I10" s="11" t="n">
        <x:v>1</x:v>
      </x:c>
      <x:c r="J10" s="11" t="str">
        <x:v>EXTRACTED</x:v>
      </x:c>
      <x:c r="K10" s="11" t="str"/>
    </x:row>
    <x:row r="11">
      <x:c r="A11" s="11" t="str">
        <x:v>EVD-008</x:v>
      </x:c>
      <x:c r="B11" s="11" t="str">
        <x:v>CTR-N40192-23-D-2803</x:v>
      </x:c>
      <x:c r="C11" s="11" t="str">
        <x:v>Organization</x:v>
      </x:c>
      <x:c r="D11" s="11" t="str">
        <x:v>Address Offer To</x:v>
      </x:c>
      <x:c r="E11" s="11" t="str">
        <x:v>8. ADDRESS OFFER TO</x:v>
      </x:c>
      <x:c r="F11" s="11" t="str">
        <x:v>See Item 7</x:v>
      </x:c>
      <x:c r="G11" s="11" t="str">
        <x:v>ORG-001</x:v>
      </x:c>
      <x:c r="H11" s="11" t="str">
        <x:v>SF1442 Award_N4019223D2803.pdf</x:v>
      </x:c>
      <x:c r="I11" s="11" t="n">
        <x:v>1</x:v>
      </x:c>
      <x:c r="J11" s="11" t="str">
        <x:v>RESOLVED_REFERENCE</x:v>
      </x:c>
      <x:c r="K11" s="11" t="str">
        <x:v>Resolved to Issued By; raw value retained</x:v>
      </x:c>
    </x:row>
    <x:row r="12">
      <x:c r="A12" s="11" t="str">
        <x:v>EVD-009</x:v>
      </x:c>
      <x:c r="B12" s="11" t="str">
        <x:v>CTR-N40192-23-D-2803</x:v>
      </x:c>
      <x:c r="C12" s="11" t="str">
        <x:v>Organization</x:v>
      </x:c>
      <x:c r="D12" s="11" t="str">
        <x:v>Administered By</x:v>
      </x:c>
      <x:c r="E12" s="11" t="str">
        <x:v>26. ADMINISTERED BY</x:v>
      </x:c>
      <x:c r="F12" s="11" t="str">
        <x:v>See Item 7</x:v>
      </x:c>
      <x:c r="G12" s="11" t="str">
        <x:v>ORG-001</x:v>
      </x:c>
      <x:c r="H12" s="11" t="str">
        <x:v>SF1442 Award_N4019223D2803.pdf</x:v>
      </x:c>
      <x:c r="I12" s="11" t="n">
        <x:v>2</x:v>
      </x:c>
      <x:c r="J12" s="11" t="str">
        <x:v>RESOLVED_REFERENCE</x:v>
      </x:c>
      <x:c r="K12" s="11" t="str">
        <x:v>Resolved to Issued By; raw value retained</x:v>
      </x:c>
    </x:row>
    <x:row r="13">
      <x:c r="A13" s="11" t="str">
        <x:v>EVD-010</x:v>
      </x:c>
      <x:c r="B13" s="11" t="str">
        <x:v>CTR-N40192-23-D-2803</x:v>
      </x:c>
      <x:c r="C13" s="11" t="str">
        <x:v>Organization</x:v>
      </x:c>
      <x:c r="D13" s="11" t="str">
        <x:v>Contractor / Offeror</x:v>
      </x:c>
      <x:c r="E13" s="11" t="str">
        <x:v>14. NAME AND ADDRESS OF OFFEROR</x:v>
      </x:c>
      <x:c r="F13" s="11" t="str">
        <x:v>CHUGACH CONSOLIDATED SOLUTIONS, LLC</x:v>
      </x:c>
      <x:c r="G13" s="11" t="str">
        <x:v>Chugach Consolidated Solutions, LLC</x:v>
      </x:c>
      <x:c r="H13" s="11" t="str">
        <x:v>SF1442 Award_N4019223D2803.pdf</x:v>
      </x:c>
      <x:c r="I13" s="11" t="n">
        <x:v>2</x:v>
      </x:c>
      <x:c r="J13" s="11" t="str">
        <x:v>EXTRACTED</x:v>
      </x:c>
      <x:c r="K13" s="11" t="str"/>
    </x:row>
    <x:row r="14">
      <x:c r="A14" s="11" t="str">
        <x:v>EVD-011</x:v>
      </x:c>
      <x:c r="B14" s="11" t="str">
        <x:v>CTR-N40192-23-D-2803</x:v>
      </x:c>
      <x:c r="C14" s="11" t="str">
        <x:v>Organization</x:v>
      </x:c>
      <x:c r="D14" s="11" t="str">
        <x:v>Payment Office</x:v>
      </x:c>
      <x:c r="E14" s="11" t="str">
        <x:v>27. PAYMENT WILL BE MADE BY</x:v>
      </x:c>
      <x:c r="F14" s="11" t="str">
        <x:v>DEFENSE FINANCE &amp; ACCOUNTING SERVICE / DFAS-CLEVELAND</x:v>
      </x:c>
      <x:c r="G14" s="11" t="str">
        <x:v>Defense Finance &amp; Accounting Service</x:v>
      </x:c>
      <x:c r="H14" s="11" t="str">
        <x:v>SF1442 Award_N4019223D2803.pdf</x:v>
      </x:c>
      <x:c r="I14" s="11" t="n">
        <x:v>2</x:v>
      </x:c>
      <x:c r="J14" s="11" t="str">
        <x:v>EXTRACTED</x:v>
      </x:c>
      <x:c r="K14" s="11" t="str"/>
    </x:row>
    <x:row r="15">
      <x:c r="A15" s="11" t="str">
        <x:v>EVD-012</x:v>
      </x:c>
      <x:c r="B15" s="11" t="str">
        <x:v>CTR-N40192-23-D-2803</x:v>
      </x:c>
      <x:c r="C15" s="11" t="str">
        <x:v>Address</x:v>
      </x:c>
      <x:c r="D15" s="11" t="str">
        <x:v>Issued By Address</x:v>
      </x:c>
      <x:c r="E15" s="11" t="str">
        <x:v>7. ISSUED BY</x:v>
      </x:c>
      <x:c r="F15" s="11" t="str">
        <x:v>MAR CORE DC; PSC 455, BOX 195; FPO AP 96540-2937</x:v>
      </x:c>
      <x:c r="G15" s="11" t="str">
        <x:v>ADDR-001</x:v>
      </x:c>
      <x:c r="H15" s="11" t="str">
        <x:v>SF1442 Award_N4019223D2803.pdf</x:v>
      </x:c>
      <x:c r="I15" s="11" t="n">
        <x:v>1</x:v>
      </x:c>
      <x:c r="J15" s="11" t="str">
        <x:v>EXTRACTED</x:v>
      </x:c>
      <x:c r="K15" s="11" t="str"/>
    </x:row>
    <x:row r="16">
      <x:c r="A16" s="11" t="str">
        <x:v>EVD-013</x:v>
      </x:c>
      <x:c r="B16" s="11" t="str">
        <x:v>CTR-N40192-23-D-2803</x:v>
      </x:c>
      <x:c r="C16" s="11" t="str">
        <x:v>Address</x:v>
      </x:c>
      <x:c r="D16" s="11" t="str">
        <x:v>Offeror Address</x:v>
      </x:c>
      <x:c r="E16" s="11" t="str">
        <x:v>14. NAME AND ADDRESS OF OFFEROR</x:v>
      </x:c>
      <x:c r="F16" s="11" t="str">
        <x:v>3800 CENTER POINT DR STE 1200; ANCHORAGE AK 99503-5825</x:v>
      </x:c>
      <x:c r="G16" s="11" t="str">
        <x:v>ADDR-002</x:v>
      </x:c>
      <x:c r="H16" s="11" t="str">
        <x:v>SF1442 Award_N4019223D2803.pdf</x:v>
      </x:c>
      <x:c r="I16" s="11" t="n">
        <x:v>2</x:v>
      </x:c>
      <x:c r="J16" s="11" t="str">
        <x:v>EXTRACTED</x:v>
      </x:c>
      <x:c r="K16" s="11" t="str"/>
    </x:row>
    <x:row r="17">
      <x:c r="A17" s="11" t="str">
        <x:v>EVD-014</x:v>
      </x:c>
      <x:c r="B17" s="11" t="str">
        <x:v>CTR-N40192-23-D-2803</x:v>
      </x:c>
      <x:c r="C17" s="11" t="str">
        <x:v>Address</x:v>
      </x:c>
      <x:c r="D17" s="11" t="str">
        <x:v>Contractor Address</x:v>
      </x:c>
      <x:c r="E17" s="11" t="str">
        <x:v>Award acknowledgement item B</x:v>
      </x:c>
      <x:c r="F17" s="11" t="str">
        <x:v>3800 Centerpoint Drive Suite 800 Anchorage, Alaska, 99503</x:v>
      </x:c>
      <x:c r="G17" s="11" t="str">
        <x:v>ADDR-003</x:v>
      </x:c>
      <x:c r="H17" s="11" t="str">
        <x:v>N40192-23-D-2803 CCSL SBMACC response to award annoucement.pdf</x:v>
      </x:c>
      <x:c r="I17" s="11" t="n">
        <x:v>1</x:v>
      </x:c>
      <x:c r="J17" s="11" t="str">
        <x:v>CONFLICT_PRESERVED</x:v>
      </x:c>
      <x:c r="K17" s="11" t="str">
        <x:v>Differs from SF1442 Suite 1200; not reconciled</x:v>
      </x:c>
    </x:row>
    <x:row r="18">
      <x:c r="A18" s="11" t="str">
        <x:v>EVD-015</x:v>
      </x:c>
      <x:c r="B18" s="11" t="str">
        <x:v>CTR-N40192-23-D-2803</x:v>
      </x:c>
      <x:c r="C18" s="11" t="str">
        <x:v>Address</x:v>
      </x:c>
      <x:c r="D18" s="11" t="str">
        <x:v>Payment Office Address</x:v>
      </x:c>
      <x:c r="E18" s="11" t="str">
        <x:v>27. PAYMENT WILL BE MADE BY</x:v>
      </x:c>
      <x:c r="F18" s="11" t="str">
        <x:v>DFAS-CLEVELAND; NORFOLK ACCOUNTS PAYABLE; PO BOX 998022; CLEVELAND OH 44199-2123</x:v>
      </x:c>
      <x:c r="G18" s="11" t="str">
        <x:v>ADDR-004</x:v>
      </x:c>
      <x:c r="H18" s="11" t="str">
        <x:v>SF1442 Award_N4019223D2803.pdf</x:v>
      </x:c>
      <x:c r="I18" s="11" t="n">
        <x:v>2</x:v>
      </x:c>
      <x:c r="J18" s="11" t="str">
        <x:v>EXTRACTED</x:v>
      </x:c>
      <x:c r="K18" s="11" t="str"/>
    </x:row>
    <x:row r="19">
      <x:c r="A19" s="11" t="str">
        <x:v>EVD-016</x:v>
      </x:c>
      <x:c r="B19" s="11" t="str">
        <x:v>CTR-N40192-23-D-2803</x:v>
      </x:c>
      <x:c r="C19" s="11" t="str">
        <x:v>Contact</x:v>
      </x:c>
      <x:c r="D19" s="11" t="str">
        <x:v>Information Contact</x:v>
      </x:c>
      <x:c r="E19" s="11" t="str">
        <x:v>9. FOR INFORMATION CALL</x:v>
      </x:c>
      <x:c r="F19" s="11" t="str">
        <x:v>DORIS CASTRO / 671-339-8465</x:v>
      </x:c>
      <x:c r="G19" s="11" t="str">
        <x:v>Doris R. Castro</x:v>
      </x:c>
      <x:c r="H19" s="11" t="str">
        <x:v>SF1442 Award_N4019223D2803.pdf</x:v>
      </x:c>
      <x:c r="I19" s="11" t="n">
        <x:v>1</x:v>
      </x:c>
      <x:c r="J19" s="11" t="str">
        <x:v>EXTRACTED</x:v>
      </x:c>
      <x:c r="K19" s="11" t="str"/>
    </x:row>
    <x:row r="20">
      <x:c r="A20" s="11" t="str">
        <x:v>EVD-017</x:v>
      </x:c>
      <x:c r="B20" s="11" t="str">
        <x:v>CTR-N40192-23-D-2803</x:v>
      </x:c>
      <x:c r="C20" s="11" t="str">
        <x:v>Contact</x:v>
      </x:c>
      <x:c r="D20" s="11" t="str">
        <x:v>Contract Specialist</x:v>
      </x:c>
      <x:c r="E20" s="11" t="str">
        <x:v>Award acknowledgement addressee</x:v>
      </x:c>
      <x:c r="F20" s="11" t="str">
        <x:v>Janeen M. Bais / (671) 339-2572 / janeen.m.bais.civ@us.navy.mil</x:v>
      </x:c>
      <x:c r="G20" s="11" t="str">
        <x:v>Janeen M. Bais</x:v>
      </x:c>
      <x:c r="H20" s="11" t="str">
        <x:v>N40192-23-D-2803 CCSL SBMACC response to award annoucement.pdf</x:v>
      </x:c>
      <x:c r="I20" s="11" t="n">
        <x:v>1</x:v>
      </x:c>
      <x:c r="J20" s="11" t="str">
        <x:v>EXTRACTED</x:v>
      </x:c>
      <x:c r="K20" s="11" t="str"/>
    </x:row>
    <x:row r="21">
      <x:c r="A21" s="11" t="str">
        <x:v>EVD-018</x:v>
      </x:c>
      <x:c r="B21" s="11" t="str">
        <x:v>CTR-N40192-23-D-2803</x:v>
      </x:c>
      <x:c r="C21" s="11" t="str">
        <x:v>Contact</x:v>
      </x:c>
      <x:c r="D21" s="11" t="str">
        <x:v>Basic Contract POC</x:v>
      </x:c>
      <x:c r="E21" s="11" t="str">
        <x:v>Response item D</x:v>
      </x:c>
      <x:c r="F21" s="11" t="str">
        <x:v>William Martz, General Manager, 907-748-9876, william.martz@chugachgov.com</x:v>
      </x:c>
      <x:c r="G21" s="11" t="str">
        <x:v>William Martz</x:v>
      </x:c>
      <x:c r="H21" s="11" t="str">
        <x:v>N40192-23-D-2803 CCSL SBMACC response to award annoucement.pdf</x:v>
      </x:c>
      <x:c r="I21" s="11" t="n">
        <x:v>1</x:v>
      </x:c>
      <x:c r="J21" s="11" t="str">
        <x:v>EXTRACTED</x:v>
      </x:c>
      <x:c r="K21" s="11" t="str"/>
    </x:row>
    <x:row r="22">
      <x:c r="A22" s="11" t="str">
        <x:v>EVD-019</x:v>
      </x:c>
      <x:c r="B22" s="11" t="str">
        <x:v>CTR-N40192-23-D-2803</x:v>
      </x:c>
      <x:c r="C22" s="11" t="str">
        <x:v>Contact</x:v>
      </x:c>
      <x:c r="D22" s="11" t="str">
        <x:v>Authorized Negotiator / Signer</x:v>
      </x:c>
      <x:c r="E22" s="11" t="str">
        <x:v>Response items E/F</x:v>
      </x:c>
      <x:c r="F22" s="11" t="str">
        <x:v>Giovanni D. Teodoro, Project Manager ...</x:v>
      </x:c>
      <x:c r="G22" s="11" t="str">
        <x:v>Giovanni D. Teodoro</x:v>
      </x:c>
      <x:c r="H22" s="11" t="str">
        <x:v>N40192-23-D-2803 CCSL SBMACC response to award annoucement.pdf</x:v>
      </x:c>
      <x:c r="I22" s="11" t="n">
        <x:v>1</x:v>
      </x:c>
      <x:c r="J22" s="11" t="str">
        <x:v>EXTRACTED</x:v>
      </x:c>
      <x:c r="K22" s="11" t="str"/>
    </x:row>
    <x:row r="23">
      <x:c r="A23" s="11" t="str">
        <x:v>EVD-020</x:v>
      </x:c>
      <x:c r="B23" s="11" t="str">
        <x:v>CTR-N40192-23-D-2803</x:v>
      </x:c>
      <x:c r="C23" s="11" t="str">
        <x:v>Contact</x:v>
      </x:c>
      <x:c r="D23" s="11" t="str">
        <x:v>Task Order RFP Email</x:v>
      </x:c>
      <x:c r="E23" s="11" t="str">
        <x:v>Response item G</x:v>
      </x:c>
      <x:c r="F23" s="11" t="str">
        <x:v>Rodney.hunt@chugachgov.com</x:v>
      </x:c>
      <x:c r="G23" s="11" t="str">
        <x:v>rodney.hunt@chugachgov.com</x:v>
      </x:c>
      <x:c r="H23" s="11" t="str">
        <x:v>N40192-23-D-2803 CCSL SBMACC response to award annoucement.pdf</x:v>
      </x:c>
      <x:c r="I23" s="11" t="n">
        <x:v>2</x:v>
      </x:c>
      <x:c r="J23" s="11" t="str">
        <x:v>EXTRACTED</x:v>
      </x:c>
      <x:c r="K23" s="11" t="str"/>
    </x:row>
    <x:row r="24">
      <x:c r="A24" s="11" t="str">
        <x:v>EVD-021</x:v>
      </x:c>
      <x:c r="B24" s="11" t="str">
        <x:v>CTR-N40192-23-D-2803</x:v>
      </x:c>
      <x:c r="C24" s="11" t="str">
        <x:v>Contact</x:v>
      </x:c>
      <x:c r="D24" s="11" t="str">
        <x:v>CPARS POC</x:v>
      </x:c>
      <x:c r="E24" s="11" t="str">
        <x:v>Response item H</x:v>
      </x:c>
      <x:c r="F24" s="11" t="str">
        <x:v>John Sparkman ... John.Sparkman@chuachov.com / 918-927-2236</x:v>
      </x:c>
      <x:c r="G24" s="11" t="str">
        <x:v>John Sparkman</x:v>
      </x:c>
      <x:c r="H24" s="11" t="str">
        <x:v>N40192-23-D-2803 CCSL SBMACC response to award annoucement.pdf</x:v>
      </x:c>
      <x:c r="I24" s="11" t="n">
        <x:v>2</x:v>
      </x:c>
      <x:c r="J24" s="11" t="str">
        <x:v>EXTRACTED</x:v>
      </x:c>
      <x:c r="K24" s="11" t="str">
        <x:v>Source spelling retained</x:v>
      </x:c>
    </x:row>
    <x:row r="25">
      <x:c r="A25" s="11" t="str">
        <x:v>EVD-022</x:v>
      </x:c>
      <x:c r="B25" s="11" t="str">
        <x:v>CTR-N40192-23-D-2803</x:v>
      </x:c>
      <x:c r="C25" s="11" t="str">
        <x:v>CLIN</x:v>
      </x:c>
      <x:c r="D25" s="11" t="str">
        <x:v>0001</x:v>
      </x:c>
      <x:c r="E25" s="11" t="str">
        <x:v>ITEM NO 0001</x:v>
      </x:c>
      <x:c r="F25" s="11" t="str">
        <x:v>Base Period - SB-DBMACC; 600,000,000 Each; $1.00; $600,000,000.00 NTE</x:v>
      </x:c>
      <x:c r="G25" s="11" t="str">
        <x:v>CLIN-0001</x:v>
      </x:c>
      <x:c r="H25" s="11" t="str">
        <x:v>SF1442 Award_N4019223D2803.pdf</x:v>
      </x:c>
      <x:c r="I25" s="11" t="n">
        <x:v>4</x:v>
      </x:c>
      <x:c r="J25" s="11" t="str">
        <x:v>EXTRACTED</x:v>
      </x:c>
      <x:c r="K25" s="11" t="str"/>
    </x:row>
    <x:row r="26">
      <x:c r="A26" s="11" t="str">
        <x:v>EVD-023</x:v>
      </x:c>
      <x:c r="B26" s="11" t="str">
        <x:v>CTR-N40192-23-D-2803</x:v>
      </x:c>
      <x:c r="C26" s="11" t="str">
        <x:v>CLIN</x:v>
      </x:c>
      <x:c r="D26" s="11" t="str">
        <x:v>0002</x:v>
      </x:c>
      <x:c r="E26" s="11" t="str">
        <x:v>ITEM NO 0002</x:v>
      </x:c>
      <x:c r="F26" s="11" t="str">
        <x:v>First Option Period - SB-DBMACC; UNDEFINED; NSP</x:v>
      </x:c>
      <x:c r="G26" s="11" t="str">
        <x:v>CLIN-0002</x:v>
      </x:c>
      <x:c r="H26" s="11" t="str">
        <x:v>SF1442 Award_N4019223D2803.pdf</x:v>
      </x:c>
      <x:c r="I26" s="11" t="n">
        <x:v>5</x:v>
      </x:c>
      <x:c r="J26" s="11" t="str">
        <x:v>EXTRACTED</x:v>
      </x:c>
      <x:c r="K26" s="11" t="str"/>
    </x:row>
    <x:row r="27">
      <x:c r="A27" s="11" t="str">
        <x:v>EVD-024</x:v>
      </x:c>
      <x:c r="B27" s="11" t="str">
        <x:v>CTR-N40192-23-D-2803</x:v>
      </x:c>
      <x:c r="C27" s="11" t="str">
        <x:v>CLIN</x:v>
      </x:c>
      <x:c r="D27" s="11" t="str">
        <x:v>0003</x:v>
      </x:c>
      <x:c r="E27" s="11" t="str">
        <x:v>ITEM NO 0003</x:v>
      </x:c>
      <x:c r="F27" s="11" t="str">
        <x:v>Second Option Period - SB-DBMACC; UNDEFINED; NSP</x:v>
      </x:c>
      <x:c r="G27" s="11" t="str">
        <x:v>CLIN-0003</x:v>
      </x:c>
      <x:c r="H27" s="11" t="str">
        <x:v>SF1442 Award_N4019223D2803.pdf</x:v>
      </x:c>
      <x:c r="I27" s="11" t="n">
        <x:v>6</x:v>
      </x:c>
      <x:c r="J27" s="11" t="str">
        <x:v>EXTRACTED</x:v>
      </x:c>
      <x:c r="K27" s="11" t="str"/>
    </x:row>
    <x:row r="28">
      <x:c r="A28" s="11" t="str">
        <x:v>EVD-025</x:v>
      </x:c>
      <x:c r="B28" s="11" t="str">
        <x:v>CTR-N40192-23-D-2803</x:v>
      </x:c>
      <x:c r="C28" s="11" t="str">
        <x:v>CLIN</x:v>
      </x:c>
      <x:c r="D28" s="11" t="str">
        <x:v>0004</x:v>
      </x:c>
      <x:c r="E28" s="11" t="str">
        <x:v>ITEM NO 0004</x:v>
      </x:c>
      <x:c r="F28" s="11" t="str">
        <x:v>Third Option Period - SB-DBMACC; UNDEFINED; NSP</x:v>
      </x:c>
      <x:c r="G28" s="11" t="str">
        <x:v>CLIN-0004</x:v>
      </x:c>
      <x:c r="H28" s="11" t="str">
        <x:v>SF1442 Award_N4019223D2803.pdf</x:v>
      </x:c>
      <x:c r="I28" s="11" t="n">
        <x:v>7</x:v>
      </x:c>
      <x:c r="J28" s="11" t="str">
        <x:v>EXTRACTED</x:v>
      </x:c>
      <x:c r="K28" s="11" t="str"/>
    </x:row>
    <x:row r="29">
      <x:c r="A29" s="11" t="str">
        <x:v>EVD-026</x:v>
      </x:c>
      <x:c r="B29" s="11" t="str">
        <x:v>CTR-N40192-23-D-2803</x:v>
      </x:c>
      <x:c r="C29" s="11" t="str">
        <x:v>Funding</x:v>
      </x:c>
      <x:c r="D29" s="11" t="str">
        <x:v>Award Amount / Ceiling</x:v>
      </x:c>
      <x:c r="E29" s="11" t="str">
        <x:v>22. AMOUNT</x:v>
      </x:c>
      <x:c r="F29" s="11" t="str">
        <x:v>$600,000,000.00</x:v>
      </x:c>
      <x:c r="G29" s="11" t="str">
        <x:v>600000000.00</x:v>
      </x:c>
      <x:c r="H29" s="11" t="str">
        <x:v>SF1442 Award_N4019223D2803.pdf</x:v>
      </x:c>
      <x:c r="I29" s="11" t="n">
        <x:v>2</x:v>
      </x:c>
      <x:c r="J29" s="11" t="str">
        <x:v>EXTRACTED</x:v>
      </x:c>
      <x:c r="K29" s="11" t="str">
        <x:v>Aggregate ceiling</x:v>
      </x:c>
    </x:row>
    <x:row r="30">
      <x:c r="A30" s="11" t="str">
        <x:v>EVD-027</x:v>
      </x:c>
      <x:c r="B30" s="11" t="str">
        <x:v>CTR-N40192-23-D-2803</x:v>
      </x:c>
      <x:c r="C30" s="11" t="str">
        <x:v>Funding</x:v>
      </x:c>
      <x:c r="D30" s="11" t="str">
        <x:v>Accounting and Appropriation</x:v>
      </x:c>
      <x:c r="E30" s="11" t="str">
        <x:v>23. ACCOUNTING AND APPROPRIATION DATA</x:v>
      </x:c>
      <x:c r="F30" s="11" t="str"/>
      <x:c r="G30" s="11" t="str"/>
      <x:c r="H30" s="11" t="str">
        <x:v>SF1442 Award_N4019223D2803.pdf</x:v>
      </x:c>
      <x:c r="I30" s="11" t="n">
        <x:v>2</x:v>
      </x:c>
      <x:c r="J30" s="11" t="str">
        <x:v>SOURCE_BLANK</x:v>
      </x:c>
      <x:c r="K30" s="11" t="str">
        <x:v>Field exists on form but is not populated</x:v>
      </x:c>
    </x:row>
    <x:row r="31">
      <x:c r="A31" s="11" t="str">
        <x:v>EVD-028</x:v>
      </x:c>
      <x:c r="B31" s="11" t="str">
        <x:v>CTR-N40192-23-D-2803</x:v>
      </x:c>
      <x:c r="C31" s="11" t="str">
        <x:v>Funding</x:v>
      </x:c>
      <x:c r="D31" s="11" t="str">
        <x:v>Funding Rule</x:v>
      </x:c>
      <x:c r="E31" s="11" t="str">
        <x:v>CLIN narrative</x:v>
      </x:c>
      <x:c r="F31" s="11" t="str">
        <x:v>Funds will be obligated upon issuance of each individual task order.</x:v>
      </x:c>
      <x:c r="G31" s="11" t="str">
        <x:v>Funds will be obligated upon issuance of each individual task order</x:v>
      </x:c>
      <x:c r="H31" s="11" t="str">
        <x:v>SF1442 Award_N4019223D2803.pdf</x:v>
      </x:c>
      <x:c r="I31" s="11" t="n">
        <x:v>4</x:v>
      </x:c>
      <x:c r="J31" s="11" t="str">
        <x:v>EXTRACTED</x:v>
      </x:c>
      <x:c r="K31" s="11" t="str"/>
    </x:row>
    <x:row r="32">
      <x:c r="A32" s="11" t="str">
        <x:v>EVD-029</x:v>
      </x:c>
      <x:c r="B32" s="11" t="str">
        <x:v>CTR-N40192-23-D-2803</x:v>
      </x:c>
      <x:c r="C32" s="11" t="str">
        <x:v>Funding</x:v>
      </x:c>
      <x:c r="D32" s="11" t="str">
        <x:v>Minimum Guarantee</x:v>
      </x:c>
      <x:c r="E32" s="11" t="str">
        <x:v>SF1442 Block 10 continuation</x:v>
      </x:c>
      <x:c r="F32" s="11" t="str">
        <x:v>minimum guarantee of $25,000 for the base period</x:v>
      </x:c>
      <x:c r="G32" s="11" t="str">
        <x:v>25000.00</x:v>
      </x:c>
      <x:c r="H32" s="11" t="str">
        <x:v>SF1442 Award_N4019223D2803.pdf</x:v>
      </x:c>
      <x:c r="I32" s="11" t="n">
        <x:v>3</x:v>
      </x:c>
      <x:c r="J32" s="11" t="str">
        <x:v>EXTRACTED</x:v>
      </x:c>
      <x:c r="K32" s="11" t="str"/>
    </x:row>
    <x:row r="33">
      <x:c r="A33" s="11" t="str">
        <x:v>EVD-030</x:v>
      </x:c>
      <x:c r="B33" s="11" t="str">
        <x:v>CTR-N40192-23-D-2803</x:v>
      </x:c>
      <x:c r="C33" s="11" t="str">
        <x:v>Performance</x:v>
      </x:c>
      <x:c r="D33" s="11" t="str">
        <x:v>CLIN 0001 POP / Ship To</x:v>
      </x:c>
      <x:c r="E33" s="11" t="str">
        <x:v>DELIVERY INFORMATION</x:v>
      </x:c>
      <x:c r="F33" s="11" t="str">
        <x:v>POP 29-SEP-2023 TO 28-SEP-2028 ... N40192</x:v>
      </x:c>
      <x:c r="G33" s="11" t="str">
        <x:v>PERF-001</x:v>
      </x:c>
      <x:c r="H33" s="11" t="str">
        <x:v>SF1442 Award_N4019223D2803.pdf</x:v>
      </x:c>
      <x:c r="I33" s="11" t="n">
        <x:v>7</x:v>
      </x:c>
      <x:c r="J33" s="11" t="str">
        <x:v>EXTRACTED</x:v>
      </x:c>
      <x:c r="K33" s="11" t="str"/>
    </x:row>
    <x:row r="34">
      <x:c r="A34" s="11" t="str">
        <x:v>EVD-031</x:v>
      </x:c>
      <x:c r="B34" s="11" t="str">
        <x:v>CTR-N40192-23-D-2803</x:v>
      </x:c>
      <x:c r="C34" s="11" t="str">
        <x:v>Performance</x:v>
      </x:c>
      <x:c r="D34" s="11" t="str">
        <x:v>CLIN 0002 Delivery</x:v>
      </x:c>
      <x:c r="E34" s="11" t="str">
        <x:v>DELIVERY INFORMATION</x:v>
      </x:c>
      <x:c r="F34" s="11" t="str">
        <x:v>N/A</x:v>
      </x:c>
      <x:c r="G34" s="11" t="str">
        <x:v>PERF-002</x:v>
      </x:c>
      <x:c r="H34" s="11" t="str">
        <x:v>SF1442 Award_N4019223D2803.pdf</x:v>
      </x:c>
      <x:c r="I34" s="11" t="n">
        <x:v>7</x:v>
      </x:c>
      <x:c r="J34" s="11" t="str">
        <x:v>EXTRACTED</x:v>
      </x:c>
      <x:c r="K34" s="11" t="str"/>
    </x:row>
    <x:row r="35">
      <x:c r="A35" s="11" t="str">
        <x:v>EVD-032</x:v>
      </x:c>
      <x:c r="B35" s="11" t="str">
        <x:v>CTR-N40192-23-D-2803</x:v>
      </x:c>
      <x:c r="C35" s="11" t="str">
        <x:v>Performance</x:v>
      </x:c>
      <x:c r="D35" s="11" t="str">
        <x:v>CLIN 0003 Delivery</x:v>
      </x:c>
      <x:c r="E35" s="11" t="str">
        <x:v>DELIVERY INFORMATION</x:v>
      </x:c>
      <x:c r="F35" s="11" t="str">
        <x:v>N/A</x:v>
      </x:c>
      <x:c r="G35" s="11" t="str">
        <x:v>PERF-003</x:v>
      </x:c>
      <x:c r="H35" s="11" t="str">
        <x:v>SF1442 Award_N4019223D2803.pdf</x:v>
      </x:c>
      <x:c r="I35" s="11" t="n">
        <x:v>7</x:v>
      </x:c>
      <x:c r="J35" s="11" t="str">
        <x:v>EXTRACTED</x:v>
      </x:c>
      <x:c r="K35" s="11" t="str"/>
    </x:row>
    <x:row r="36">
      <x:c r="A36" s="11" t="str">
        <x:v>EVD-033</x:v>
      </x:c>
      <x:c r="B36" s="11" t="str">
        <x:v>CTR-N40192-23-D-2803</x:v>
      </x:c>
      <x:c r="C36" s="11" t="str">
        <x:v>Performance</x:v>
      </x:c>
      <x:c r="D36" s="11" t="str">
        <x:v>CLIN 0004 Delivery</x:v>
      </x:c>
      <x:c r="E36" s="11" t="str">
        <x:v>DELIVERY INFORMATION</x:v>
      </x:c>
      <x:c r="F36" s="11" t="str">
        <x:v>N/A</x:v>
      </x:c>
      <x:c r="G36" s="11" t="str">
        <x:v>PERF-004</x:v>
      </x:c>
      <x:c r="H36" s="11" t="str">
        <x:v>SF1442 Award_N4019223D2803.pdf</x:v>
      </x:c>
      <x:c r="I36" s="11" t="n">
        <x:v>7</x:v>
      </x:c>
      <x:c r="J36" s="11" t="str">
        <x:v>EXTRACTED</x:v>
      </x:c>
      <x:c r="K36" s="11" t="str"/>
    </x:row>
  </x:sheetData>
  <x:mergeCells>
    <x:mergeCell ref="A1:K1"/>
  </x:mergeCells>
  <x:conditionalFormatting sqref="J4:J200">
    <x:cfRule type="expression" dxfId="9" priority="1">
      <x:formula>J4="CONFLICT_PRESERVED"</x:formula>
    </x:cfRule>
    <x:cfRule type="expression" dxfId="10" priority="2">
      <x:formula>J4="SOURCE_BLANK"</x:formula>
    </x:cfRule>
    <x:cfRule type="expression" dxfId="11" priority="3">
      <x:formula>J4="EXTRACTED"</x:formula>
    </x:cfRule>
  </x:conditionalFormatting>
  <x:dataValidations count="1">
    <x:dataValidation type="list" sqref="J4:J200">
      <x:formula1>"EXTRACTED,REVIEWED,RESOLVED_REFERENCE,SOURCE_BLANK,CONFLICT_PRESERVED,REVIEW_REQUIRED"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4" hidden="0" customWidth="1"/>
    <x:col min="4" max="4" width="34" hidden="0" customWidth="1"/>
    <x:col min="5" max="5" width="52" hidden="0" customWidth="1"/>
    <x:col min="6" max="6" width="34" hidden="0" customWidth="1"/>
    <x:col min="7" max="7" width="52" hidden="0" customWidth="1"/>
    <x:col min="8" max="8" width="52" hidden="0" customWidth="1"/>
    <x:col min="9" max="9" width="18" hidden="0" customWidth="1"/>
  </x:cols>
  <x:sheetData>
    <x:row r="1" ht="26" customHeight="1">
      <x:c r="A1" s="27" t="str">
        <x:v>12 Conflicts Review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3" ht="30" customHeight="1">
      <x:c r="A3" s="32" t="str">
        <x:v>Issue ID</x:v>
      </x:c>
      <x:c r="B3" s="32" t="str">
        <x:v>Contract Record ID</x:v>
      </x:c>
      <x:c r="C3" s="32" t="str">
        <x:v>Field / Entity</x:v>
      </x:c>
      <x:c r="D3" s="32" t="str">
        <x:v>Source A</x:v>
      </x:c>
      <x:c r="E3" s="32" t="str">
        <x:v>Value A</x:v>
      </x:c>
      <x:c r="F3" s="32" t="str">
        <x:v>Source B</x:v>
      </x:c>
      <x:c r="G3" s="32" t="str">
        <x:v>Value B</x:v>
      </x:c>
      <x:c r="H3" s="32" t="str">
        <x:v>Resolution</x:v>
      </x:c>
      <x:c r="I3" s="32" t="str">
        <x:v>Status</x:v>
      </x:c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11" t="str">
        <x:v>ISS-001</x:v>
      </x:c>
      <x:c r="B4" s="11" t="str">
        <x:v>CTR-N40192-23-D-2803</x:v>
      </x:c>
      <x:c r="C4" s="11" t="str">
        <x:v>Contractor Address</x:v>
      </x:c>
      <x:c r="D4" s="11" t="str">
        <x:v>SF1442 Award_N4019223D2803.pdf</x:v>
      </x:c>
      <x:c r="E4" s="11" t="str">
        <x:v>3800 Center Point Dr Ste 1200, Anchorage AK 99503-5825</x:v>
      </x:c>
      <x:c r="F4" s="11" t="str">
        <x:v>N40192-23-D-2803 CCSL SBMACC response to award annoucement.pdf</x:v>
      </x:c>
      <x:c r="G4" s="11" t="str">
        <x:v>3800 Centerpoint Drive Suite 800, Anchorage, Alaska 99503</x:v>
      </x:c>
      <x:c r="H4" s="11" t="str">
        <x:v>Preserve both source addresses; do not auto-reconcile</x:v>
      </x:c>
      <x:c r="I4" s="11" t="str">
        <x:v>REVIEW_REQUIRED</x:v>
      </x:c>
    </x:row>
    <x:row r="5">
      <x:c r="A5" s="11" t="str">
        <x:v>ISS-002</x:v>
      </x:c>
      <x:c r="B5" s="11" t="str">
        <x:v>CTR-N40192-23-D-2803</x:v>
      </x:c>
      <x:c r="C5" s="11" t="str">
        <x:v>Solicitation Identifier</x:v>
      </x:c>
      <x:c r="D5" s="11" t="str">
        <x:v>SF1442 Award_N4019223D2803.pdf</x:v>
      </x:c>
      <x:c r="E5" s="11" t="str">
        <x:v>N4019221R28000019</x:v>
      </x:c>
      <x:c r="F5" s="11" t="str">
        <x:v>SF1442 Award_N4019223D2803.pdf</x:v>
      </x:c>
      <x:c r="G5" s="11" t="str">
        <x:v>Reference / RFP text: N40192-21-R-2800</x:v>
      </x:c>
      <x:c r="H5" s="11" t="str">
        <x:v>Preserve raw form identifier and canonical referenced RFP number</x:v>
      </x:c>
      <x:c r="I5" s="11" t="str">
        <x:v>REVIEWED</x:v>
      </x:c>
    </x:row>
    <x:row r="6">
      <x:c r="A6" s="11" t="str">
        <x:v>ISS-003</x:v>
      </x:c>
      <x:c r="B6" s="11" t="str">
        <x:v>CTR-N40192-23-D-2803</x:v>
      </x:c>
      <x:c r="C6" s="11" t="str">
        <x:v>Accounting and Appropriation Data</x:v>
      </x:c>
      <x:c r="D6" s="11" t="str">
        <x:v>SF1442 Award_N4019223D2803.pdf</x:v>
      </x:c>
      <x:c r="E6" s="11" t="str">
        <x:v>Field present but blank</x:v>
      </x:c>
      <x:c r="F6" s="11" t="str"/>
      <x:c r="G6" s="11" t="str"/>
      <x:c r="H6" s="11" t="str">
        <x:v>Represent as SOURCE_BLANK, not extraction failure</x:v>
      </x:c>
      <x:c r="I6" s="11" t="str">
        <x:v>RESOLVED</x:v>
      </x:c>
    </x:row>
  </x:sheetData>
  <x:mergeCells>
    <x:mergeCell ref="A1:I1"/>
  </x:mergeCells>
  <x:conditionalFormatting sqref="I4:I100">
    <x:cfRule type="expression" dxfId="6" priority="1">
      <x:formula>I4="REVIEW_REQUIRED"</x:formula>
    </x:cfRule>
    <x:cfRule type="expression" dxfId="7" priority="2">
      <x:formula>I4="RESOLVED"</x:formula>
    </x:cfRule>
    <x:cfRule type="expression" dxfId="8" priority="3">
      <x:formula>I4="REVIEWED"</x:formula>
    </x:cfRule>
  </x:conditionalFormatting>
  <x:dataValidations count="1">
    <x:dataValidation type="list" sqref="I4:I100">
      <x:formula1>"REVIEW_REQUIRED,REVIEWED,RESOLVED"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66" hidden="0" customWidth="1"/>
    <x:col min="3" max="3" width="16" hidden="0" customWidth="1"/>
  </x:cols>
  <x:sheetData>
    <x:row r="1" ht="26" customHeight="1">
      <x:c r="A1" s="27" t="str">
        <x:v>13 QA Review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3" ht="30" customHeight="1">
      <x:c r="A3" s="32" t="str">
        <x:v>QA Check</x:v>
      </x:c>
      <x:c r="B3" s="32" t="str">
        <x:v>Result</x:v>
      </x:c>
      <x:c r="C3" s="32" t="str">
        <x:v>Status</x:v>
      </x:c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11" t="str">
        <x:v>Portfolio embedded PDFs</x:v>
      </x:c>
      <x:c r="B4" s="11" t="n">
        <x:v>3</x:v>
      </x:c>
      <x:c r="C4" s="11" t="str">
        <x:v>PASS</x:v>
      </x:c>
    </x:row>
    <x:row r="5">
      <x:c r="A5" s="11" t="str">
        <x:v>Contract summary records</x:v>
      </x:c>
      <x:c r="B5" s="11" t="n">
        <x:v>1</x:v>
      </x:c>
      <x:c r="C5" s="11" t="str">
        <x:v>PASS</x:v>
      </x:c>
    </x:row>
    <x:row r="6">
      <x:c r="A6" s="11" t="str">
        <x:v>Organization-role records</x:v>
      </x:c>
      <x:c r="B6" s="11" t="n">
        <x:v>5</x:v>
      </x:c>
      <x:c r="C6" s="11" t="str">
        <x:v>PASS</x:v>
      </x:c>
    </x:row>
    <x:row r="7">
      <x:c r="A7" s="11" t="str">
        <x:v>Address records</x:v>
      </x:c>
      <x:c r="B7" s="11" t="n">
        <x:v>4</x:v>
      </x:c>
      <x:c r="C7" s="11" t="str">
        <x:v>PASS</x:v>
      </x:c>
    </x:row>
    <x:row r="8">
      <x:c r="A8" s="11" t="str">
        <x:v>Contact records</x:v>
      </x:c>
      <x:c r="B8" s="11" t="n">
        <x:v>6</x:v>
      </x:c>
      <x:c r="C8" s="11" t="str">
        <x:v>PASS</x:v>
      </x:c>
    </x:row>
    <x:row r="9">
      <x:c r="A9" s="11" t="str">
        <x:v>CLIN records</x:v>
      </x:c>
      <x:c r="B9" s="11" t="n">
        <x:v>4</x:v>
      </x:c>
      <x:c r="C9" s="11" t="str">
        <x:v>PASS</x:v>
      </x:c>
    </x:row>
    <x:row r="10">
      <x:c r="A10" s="11" t="str">
        <x:v>Funding/accounting records</x:v>
      </x:c>
      <x:c r="B10" s="11" t="n">
        <x:v>4</x:v>
      </x:c>
      <x:c r="C10" s="11" t="str">
        <x:v>PASS</x:v>
      </x:c>
    </x:row>
    <x:row r="11">
      <x:c r="A11" s="11" t="str">
        <x:v>Performance/delivery records</x:v>
      </x:c>
      <x:c r="B11" s="11" t="n">
        <x:v>4</x:v>
      </x:c>
      <x:c r="C11" s="11" t="str">
        <x:v>PASS</x:v>
      </x:c>
    </x:row>
    <x:row r="12">
      <x:c r="A12" s="11" t="str">
        <x:v>Clause records parsed</x:v>
      </x:c>
      <x:c r="B12" s="11" t="n">
        <x:v>143</x:v>
      </x:c>
      <x:c r="C12" s="11" t="str">
        <x:v>PASS</x:v>
      </x:c>
    </x:row>
    <x:row r="13">
      <x:c r="A13" s="11" t="str">
        <x:v>FAR reference records</x:v>
      </x:c>
      <x:c r="B13" s="11" t="n">
        <x:v>3</x:v>
      </x:c>
      <x:c r="C13" s="11" t="str">
        <x:v>PASS</x:v>
      </x:c>
    </x:row>
    <x:row r="14">
      <x:c r="A14" s="11" t="str">
        <x:v>Evidence records</x:v>
      </x:c>
      <x:c r="B14" s="11" t="n">
        <x:v>33</x:v>
      </x:c>
      <x:c r="C14" s="11" t="str">
        <x:v>PASS</x:v>
      </x:c>
    </x:row>
    <x:row r="15">
      <x:c r="A15" s="11" t="str">
        <x:v>Known source conflicts preserved</x:v>
      </x:c>
      <x:c r="B15" s="11" t="n">
        <x:v>3</x:v>
      </x:c>
      <x:c r="C15" s="11" t="str">
        <x:v>PASS</x:v>
      </x:c>
    </x:row>
    <x:row r="16">
      <x:c r="A16" s="11" t="str">
        <x:v>Instructional text such as CAUTION stored as business data</x:v>
      </x:c>
      <x:c r="B16" s="11" t="str">
        <x:v>No</x:v>
      </x:c>
      <x:c r="C16" s="11" t="str">
        <x:v>PASS</x:v>
      </x:c>
    </x:row>
    <x:row r="17">
      <x:c r="A17" s="11" t="str">
        <x:v>Blank accounting/appropriation treated as extraction failure</x:v>
      </x:c>
      <x:c r="B17" s="11" t="str">
        <x:v>No</x:v>
      </x:c>
      <x:c r="C17" s="11" t="str">
        <x:v>PASS</x:v>
      </x:c>
    </x:row>
    <x:row r="18">
      <x:c r="A18" s="11" t="str">
        <x:v>Source portfolio SHA-256</x:v>
      </x:c>
      <x:c r="B18" s="11" t="str">
        <x:v>7884c72600b2592ac9e3ce3181279288433e3d0d5ee0127aaae73cd890f4f0bd</x:v>
      </x:c>
      <x:c r="C18" s="11" t="str">
        <x:v>INFO</x:v>
      </x:c>
    </x:row>
    <x:row r="19">
      <x:c r="A19" s="11" t="str">
        <x:v>Extraction version</x:v>
      </x:c>
      <x:c r="B19" s="11" t="str">
        <x:v>CANONICAL-CONTRACT-1.0</x:v>
      </x:c>
      <x:c r="C19" s="11" t="str">
        <x:v>INFO</x:v>
      </x:c>
    </x:row>
  </x:sheetData>
  <x:mergeCells>
    <x:mergeCell ref="A1:C1"/>
  </x:mergeCells>
  <x:conditionalFormatting sqref="C4:C19">
    <x:cfRule type="expression" dxfId="0" priority="1">
      <x:formula>C4="REVIEW"</x:formula>
    </x:cfRule>
    <x:cfRule type="expression" dxfId="1" priority="2">
      <x:formula>C4="PASS"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20" hidden="0" customWidth="1"/>
    <x:col min="10" max="10" width="22" hidden="0" customWidth="1"/>
    <x:col min="11" max="11" width="20" hidden="0" customWidth="1"/>
    <x:col min="12" max="12" width="20" hidden="0" customWidth="1"/>
  </x:cols>
  <x:sheetData>
    <x:row r="1" ht="30" customHeight="1">
      <x:c r="A1" s="82" t="str">
        <x:v>N40192-23-D-2803 | Contract Extraction &amp; Data Quality Dashboard</x:v>
      </x:c>
      <x:c r="B1" s="82"/>
      <x:c r="C1" s="82"/>
      <x:c r="D1" s="82"/>
      <x:c r="E1" s="82"/>
      <x:c r="F1" s="82"/>
      <x:c r="G1" s="82"/>
      <x:c r="H1" s="82"/>
      <x:c r="I1" s="82"/>
      <x:c r="J1" s="82"/>
      <x:c r="K1" s="82"/>
      <x:c r="L1" s="82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>
      <x:c r="A3" s="83" t="str">
        <x:v>Canonical contract data prepared for verification and downstream Oracle transformation</x:v>
      </x:c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</x:row>
    <x:row r="5">
      <x:c r="A5" s="32" t="str">
        <x:v>Contract Number</x:v>
      </x:c>
      <x:c r="B5" s="32"/>
      <x:c r="C5" s="32"/>
      <x:c r="D5" s="32" t="str">
        <x:v>Award / Ceiling</x:v>
      </x:c>
      <x:c r="E5" s="32"/>
      <x:c r="F5" s="32"/>
      <x:c r="G5" s="32" t="str">
        <x:v>Award Date</x:v>
      </x:c>
      <x:c r="H5" s="32"/>
      <x:c r="I5" s="32"/>
      <x:c r="J5" s="32" t="str">
        <x:v>Contractor</x:v>
      </x:c>
      <x:c r="K5" s="32"/>
      <x:c r="L5" s="32"/>
    </x:row>
    <x:row r="6">
      <x:c r="A6" s="84" t="str">
        <x:v>N40192-23-D-2803</x:v>
      </x:c>
      <x:c r="B6" s="85"/>
      <x:c r="C6" s="86"/>
      <x:c r="D6" s="84" t="str">
        <x:v>$600,000,000.00</x:v>
      </x:c>
      <x:c r="E6" s="85"/>
      <x:c r="F6" s="86"/>
      <x:c r="G6" s="84" t="str">
        <x:v>29-Sep-2023</x:v>
      </x:c>
      <x:c r="H6" s="85"/>
      <x:c r="I6" s="86"/>
      <x:c r="J6" s="84" t="str">
        <x:v>Chugach Consolidated Solutions, LLC</x:v>
      </x:c>
      <x:c r="K6" s="85"/>
      <x:c r="L6" s="86"/>
    </x:row>
    <x:row r="7">
      <x:c r="A7" s="87"/>
      <x:c r="B7" s="88"/>
      <x:c r="C7" s="89"/>
      <x:c r="D7" s="87"/>
      <x:c r="E7" s="88"/>
      <x:c r="F7" s="89"/>
      <x:c r="G7" s="87"/>
      <x:c r="H7" s="88"/>
      <x:c r="I7" s="89"/>
      <x:c r="J7" s="87"/>
      <x:c r="K7" s="88"/>
      <x:c r="L7" s="89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</x:row>
    <x:row r="10">
      <x:c r="A10" s="90" t="str">
        <x:v>Extraction Coverage</x:v>
      </x:c>
      <x:c r="B10" s="90"/>
      <x:c r="C10" s="90"/>
      <x:c r="D10" s="90"/>
      <x:c r="E10" s="90"/>
      <x:c r="F10" s="90"/>
      <x:c r="G10" s="11"/>
      <x:c r="H10" s="90" t="str">
        <x:v>Key Contract Terms</x:v>
      </x:c>
      <x:c r="I10" s="90"/>
      <x:c r="J10" s="90"/>
      <x:c r="K10" s="90"/>
      <x:c r="L10" s="90"/>
    </x:row>
    <x:row r="11">
      <x:c r="A11" s="78" t="str">
        <x:v>Entity / Dataset</x:v>
      </x:c>
      <x:c r="B11" s="78" t="str">
        <x:v>Records</x:v>
      </x:c>
      <x:c r="C11" s="78" t="str">
        <x:v>Verification</x:v>
      </x:c>
      <x:c r="D11" s="11"/>
      <x:c r="E11" s="11"/>
      <x:c r="F11" s="11"/>
      <x:c r="G11" s="11"/>
      <x:c r="H11" s="78" t="str">
        <x:v>Field</x:v>
      </x:c>
      <x:c r="I11" s="78" t="str">
        <x:v>Value</x:v>
      </x:c>
      <x:c r="J11" s="78"/>
      <x:c r="K11" s="78"/>
      <x:c r="L11" s="78"/>
    </x:row>
    <x:row r="12">
      <x:c r="A12" s="91" t="str">
        <x:v>Organizations</x:v>
      </x:c>
      <x:c r="B12" s="40" t="n">
        <x:v>5</x:v>
      </x:c>
      <x:c r="C12" s="40" t="str">
        <x:v>Structured</x:v>
      </x:c>
      <x:c r="D12" s="11"/>
      <x:c r="E12" s="11"/>
      <x:c r="F12" s="11"/>
      <x:c r="G12" s="11"/>
      <x:c r="H12" s="35" t="str">
        <x:v>Solicitation</x:v>
      </x:c>
      <x:c r="I12" s="11" t="str">
        <x:v>N40192-21-R-2800</x:v>
      </x:c>
      <x:c r="J12" s="11"/>
      <x:c r="K12" s="11"/>
      <x:c r="L12" s="11"/>
    </x:row>
    <x:row r="13">
      <x:c r="A13" s="91" t="str">
        <x:v>Addresses</x:v>
      </x:c>
      <x:c r="B13" s="40" t="n">
        <x:v>4</x:v>
      </x:c>
      <x:c r="C13" s="40" t="str">
        <x:v>Structured</x:v>
      </x:c>
      <x:c r="D13" s="11"/>
      <x:c r="E13" s="11"/>
      <x:c r="F13" s="11"/>
      <x:c r="G13" s="11"/>
      <x:c r="H13" s="35" t="str">
        <x:v>Solicitation Type</x:v>
      </x:c>
      <x:c r="I13" s="11" t="str">
        <x:v>Negotiated (RFP)</x:v>
      </x:c>
      <x:c r="J13" s="11"/>
      <x:c r="K13" s="11"/>
      <x:c r="L13" s="11"/>
    </x:row>
    <x:row r="14">
      <x:c r="A14" s="91" t="str">
        <x:v>Contacts</x:v>
      </x:c>
      <x:c r="B14" s="40" t="n">
        <x:v>6</x:v>
      </x:c>
      <x:c r="C14" s="40" t="str">
        <x:v>Structured</x:v>
      </x:c>
      <x:c r="D14" s="11"/>
      <x:c r="E14" s="11"/>
      <x:c r="F14" s="11"/>
      <x:c r="G14" s="11"/>
      <x:c r="H14" s="35" t="str">
        <x:v>Method</x:v>
      </x:c>
      <x:c r="I14" s="11" t="str">
        <x:v>Request for Proposal</x:v>
      </x:c>
      <x:c r="J14" s="11"/>
      <x:c r="K14" s="11"/>
      <x:c r="L14" s="11"/>
    </x:row>
    <x:row r="15">
      <x:c r="A15" s="91" t="str">
        <x:v>CLINs</x:v>
      </x:c>
      <x:c r="B15" s="40" t="n">
        <x:v>4</x:v>
      </x:c>
      <x:c r="C15" s="40" t="str">
        <x:v>Structured</x:v>
      </x:c>
      <x:c r="D15" s="11"/>
      <x:c r="E15" s="11"/>
      <x:c r="F15" s="11"/>
      <x:c r="G15" s="11"/>
      <x:c r="H15" s="35" t="str">
        <x:v>Contract Type</x:v>
      </x:c>
      <x:c r="I15" s="11" t="str">
        <x:v>IDIQ / Design-Build MACC</x:v>
      </x:c>
      <x:c r="J15" s="11"/>
      <x:c r="K15" s="11"/>
      <x:c r="L15" s="11"/>
    </x:row>
    <x:row r="16">
      <x:c r="A16" s="91" t="str">
        <x:v>Funding / Accounting</x:v>
      </x:c>
      <x:c r="B16" s="40" t="n">
        <x:v>4</x:v>
      </x:c>
      <x:c r="C16" s="40" t="str">
        <x:v>Structured</x:v>
      </x:c>
      <x:c r="D16" s="11"/>
      <x:c r="E16" s="11"/>
      <x:c r="F16" s="11"/>
      <x:c r="G16" s="11"/>
      <x:c r="H16" s="35" t="str">
        <x:v>Set-Aside</x:v>
      </x:c>
      <x:c r="I16" s="11" t="str">
        <x:v>Small Business</x:v>
      </x:c>
      <x:c r="J16" s="11"/>
      <x:c r="K16" s="11"/>
      <x:c r="L16" s="11"/>
    </x:row>
    <x:row r="17">
      <x:c r="A17" s="91" t="str">
        <x:v>Performance / Delivery</x:v>
      </x:c>
      <x:c r="B17" s="40" t="n">
        <x:v>4</x:v>
      </x:c>
      <x:c r="C17" s="40" t="str">
        <x:v>Structured</x:v>
      </x:c>
      <x:c r="D17" s="11"/>
      <x:c r="E17" s="11"/>
      <x:c r="F17" s="11"/>
      <x:c r="G17" s="11"/>
      <x:c r="H17" s="35" t="str">
        <x:v>Base Period</x:v>
      </x:c>
      <x:c r="I17" s="11" t="str">
        <x:v>60 months</x:v>
      </x:c>
      <x:c r="J17" s="11"/>
      <x:c r="K17" s="11"/>
      <x:c r="L17" s="11"/>
    </x:row>
    <x:row r="18">
      <x:c r="A18" s="91" t="str">
        <x:v>Contract Clauses</x:v>
      </x:c>
      <x:c r="B18" s="40" t="n">
        <x:v>143</x:v>
      </x:c>
      <x:c r="C18" s="40" t="str">
        <x:v>Structured</x:v>
      </x:c>
      <x:c r="D18" s="11"/>
      <x:c r="E18" s="11"/>
      <x:c r="F18" s="11"/>
      <x:c r="G18" s="11"/>
      <x:c r="H18" s="35" t="str">
        <x:v>Options</x:v>
      </x:c>
      <x:c r="I18" s="11" t="str">
        <x:v>3</x:v>
      </x:c>
      <x:c r="J18" s="11"/>
      <x:c r="K18" s="11"/>
      <x:c r="L18" s="11"/>
    </x:row>
    <x:row r="19">
      <x:c r="A19" s="91" t="str">
        <x:v>FAR References</x:v>
      </x:c>
      <x:c r="B19" s="40" t="n">
        <x:v>3</x:v>
      </x:c>
      <x:c r="C19" s="40" t="str">
        <x:v>Structured</x:v>
      </x:c>
      <x:c r="D19" s="11"/>
      <x:c r="E19" s="11"/>
      <x:c r="F19" s="11"/>
      <x:c r="G19" s="11"/>
      <x:c r="H19" s="35" t="str">
        <x:v>Maximum Duration</x:v>
      </x:c>
      <x:c r="I19" s="11" t="str">
        <x:v>96 months</x:v>
      </x:c>
      <x:c r="J19" s="11"/>
      <x:c r="K19" s="11"/>
      <x:c r="L19" s="11"/>
    </x:row>
    <x:row r="20">
      <x:c r="A20" s="91" t="str">
        <x:v>Embedded Documents</x:v>
      </x:c>
      <x:c r="B20" s="40" t="n">
        <x:v>3</x:v>
      </x:c>
      <x:c r="C20" s="40" t="str">
        <x:v>Tracked</x:v>
      </x:c>
      <x:c r="D20" s="11"/>
      <x:c r="E20" s="11"/>
      <x:c r="F20" s="11"/>
      <x:c r="G20" s="11"/>
      <x:c r="H20" s="35" t="str">
        <x:v>Minimum Guarantee</x:v>
      </x:c>
      <x:c r="I20" s="11" t="str">
        <x:v>$25,000.00</x:v>
      </x:c>
      <x:c r="J20" s="11"/>
      <x:c r="K20" s="11"/>
      <x:c r="L20" s="11"/>
    </x:row>
    <x:row r="21">
      <x:c r="A21" s="91" t="str">
        <x:v>Evidence Records</x:v>
      </x:c>
      <x:c r="B21" s="40" t="n">
        <x:v>33</x:v>
      </x:c>
      <x:c r="C21" s="40" t="str">
        <x:v>Traceable</x:v>
      </x:c>
      <x:c r="D21" s="11"/>
      <x:c r="E21" s="11"/>
      <x:c r="F21" s="11"/>
      <x:c r="G21" s="11"/>
      <x:c r="H21" s="35" t="str">
        <x:v>Task Order Range</x:v>
      </x:c>
      <x:c r="I21" s="11" t="str">
        <x:v>$1M – $20M</x:v>
      </x:c>
      <x:c r="J21" s="11"/>
      <x:c r="K21" s="11"/>
      <x:c r="L21" s="11"/>
    </x:row>
    <x:row r="22">
      <x:c r="A22" s="92" t="str">
        <x:v>Known Conflicts</x:v>
      </x:c>
      <x:c r="B22" s="93" t="n">
        <x:v>3</x:v>
      </x:c>
      <x:c r="C22" s="93" t="str">
        <x:v>Preserved</x:v>
      </x:c>
      <x:c r="D22" s="11"/>
      <x:c r="E22" s="11"/>
      <x:c r="F22" s="11"/>
      <x:c r="G22" s="11"/>
      <x:c r="H22" s="35" t="str">
        <x:v>Accounting / Appropriation</x:v>
      </x:c>
      <x:c r="I22" s="11" t="str">
        <x:v>SOURCE_BLANK</x:v>
      </x:c>
      <x:c r="J22" s="11"/>
      <x:c r="K22" s="11"/>
      <x:c r="L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</x:row>
    <x:row r="25">
      <x:c r="A25" s="90" t="str">
        <x:v>Data Quality &amp; Review Items</x:v>
      </x:c>
      <x:c r="B25" s="90"/>
      <x:c r="C25" s="90"/>
      <x:c r="D25" s="90"/>
      <x:c r="E25" s="90"/>
      <x:c r="F25" s="90"/>
      <x:c r="G25" s="90"/>
      <x:c r="H25" s="90"/>
      <x:c r="I25" s="90"/>
      <x:c r="J25" s="90"/>
      <x:c r="K25" s="90"/>
      <x:c r="L25" s="90"/>
    </x:row>
    <x:row r="26">
      <x:c r="A26" s="78" t="str">
        <x:v>Status</x:v>
      </x:c>
      <x:c r="B26" s="78" t="str">
        <x:v>Issue</x:v>
      </x:c>
      <x:c r="C26" s="78" t="str">
        <x:v>Professional Treatment</x:v>
      </x:c>
      <x:c r="D26" s="78"/>
      <x:c r="E26" s="78"/>
      <x:c r="F26" s="78"/>
      <x:c r="G26" s="78"/>
      <x:c r="H26" s="78"/>
      <x:c r="I26" s="78"/>
      <x:c r="J26" s="78"/>
      <x:c r="K26" s="78"/>
      <x:c r="L26" s="78"/>
    </x:row>
    <x:row r="27">
      <x:c r="A27" s="94" t="str">
        <x:v>REVIEW REQUIRED</x:v>
      </x:c>
      <x:c r="B27" s="11" t="str">
        <x:v>Contractor address differs between SF1442 and award acknowledgement</x:v>
      </x:c>
      <x:c r="C27" s="11" t="str">
        <x:v>Both source addresses preserved; no silent reconciliation.</x:v>
      </x:c>
      <x:c r="D27" s="11"/>
      <x:c r="E27" s="11"/>
      <x:c r="F27" s="11"/>
      <x:c r="G27" s="11"/>
      <x:c r="H27" s="11"/>
      <x:c r="I27" s="11"/>
      <x:c r="J27" s="11"/>
      <x:c r="K27" s="11"/>
      <x:c r="L27" s="11"/>
    </x:row>
    <x:row r="28">
      <x:c r="A28" s="94" t="str">
        <x:v>REVIEWED</x:v>
      </x:c>
      <x:c r="B28" s="11" t="str">
        <x:v>Solicitation identifier appears in more than one source representation</x:v>
      </x:c>
      <x:c r="C28" s="11" t="str">
        <x:v>Raw form identifier retained; referenced RFP number used as canonical solicitation number.</x:v>
      </x:c>
      <x:c r="D28" s="11"/>
      <x:c r="E28" s="11"/>
      <x:c r="F28" s="11"/>
      <x:c r="G28" s="11"/>
      <x:c r="H28" s="11"/>
      <x:c r="I28" s="11"/>
      <x:c r="J28" s="11"/>
      <x:c r="K28" s="11"/>
      <x:c r="L28" s="11"/>
    </x:row>
    <x:row r="29">
      <x:c r="A29" s="94" t="str">
        <x:v>RESOLVED</x:v>
      </x:c>
      <x:c r="B29" s="11" t="str">
        <x:v>Accounting and Appropriation field is visibly present but empty</x:v>
      </x:c>
      <x:c r="C29" s="11" t="str">
        <x:v>Classified as SOURCE_BLANK rather than extraction failure.</x:v>
      </x:c>
      <x:c r="D29" s="11"/>
      <x:c r="E29" s="11"/>
      <x:c r="F29" s="11"/>
      <x:c r="G29" s="11"/>
      <x:c r="H29" s="11"/>
      <x:c r="I29" s="11"/>
      <x:c r="J29" s="11"/>
      <x:c r="K29" s="11"/>
      <x:c r="L29" s="11"/>
    </x:row>
    <x:row r="30">
      <x:c r="A30" s="94" t="str">
        <x:v>PASS</x:v>
      </x:c>
      <x:c r="B30" s="11" t="str">
        <x:v>Form instructions / CAUTION text</x:v>
      </x:c>
      <x:c r="C30" s="11" t="str">
        <x:v>Retained as source context only; excluded from canonical business data.</x:v>
      </x:c>
      <x:c r="D30" s="11"/>
      <x:c r="E30" s="11"/>
      <x:c r="F30" s="11"/>
      <x:c r="G30" s="11"/>
      <x:c r="H30" s="11"/>
      <x:c r="I30" s="11"/>
      <x:c r="J30" s="11"/>
      <x:c r="K30" s="11"/>
      <x:c r="L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</x:row>
    <x:row r="33">
      <x:c r="A33" s="95" t="str">
        <x:v>Recommended downstream flow: Source PDF → Evidence → Canonical Contract Model → Validation → Oracle Mapping / Import</x:v>
      </x:c>
      <x:c r="B33" s="95"/>
      <x:c r="C33" s="95"/>
      <x:c r="D33" s="95"/>
      <x:c r="E33" s="95"/>
      <x:c r="F33" s="95"/>
      <x:c r="G33" s="95"/>
      <x:c r="H33" s="95"/>
      <x:c r="I33" s="95"/>
      <x:c r="J33" s="95"/>
      <x:c r="K33" s="95"/>
      <x:c r="L33" s="95"/>
    </x:row>
  </x:sheetData>
  <x:mergeCells>
    <x:mergeCell ref="A1:L1"/>
    <x:mergeCell ref="A3:L3"/>
    <x:mergeCell ref="A5:C5"/>
    <x:mergeCell ref="A6:C7"/>
    <x:mergeCell ref="D5:F5"/>
    <x:mergeCell ref="D6:F7"/>
    <x:mergeCell ref="G5:I5"/>
    <x:mergeCell ref="G6:I7"/>
    <x:mergeCell ref="J5:L5"/>
    <x:mergeCell ref="J6:L7"/>
    <x:mergeCell ref="A10:F10"/>
    <x:mergeCell ref="H10:L10"/>
    <x:mergeCell ref="A25:L25"/>
    <x:mergeCell ref="A33:L33"/>
  </x:mergeCells>
  <x:conditionalFormatting sqref="A27:A30">
    <x:cfRule type="expression" dxfId="2" priority="1">
      <x:formula>A27="REVIEW REQUIRED"</x:formula>
    </x:cfRule>
    <x:cfRule type="expression" dxfId="3" priority="2">
      <x:formula>A27="PASS"</x:formula>
    </x:cfRule>
    <x:cfRule type="expression" dxfId="4" priority="3">
      <x:formula>A27="RESOLVED"</x:formula>
    </x:cfRule>
    <x:cfRule type="expression" dxfId="5" priority="4">
      <x:formula>A27="REVIEWED"</x:formula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22" hidden="0" customWidth="1"/>
    <x:col min="4" max="4" width="38" hidden="0" customWidth="1"/>
    <x:col min="5" max="5" width="18" hidden="0" customWidth="1"/>
    <x:col min="6" max="6" width="58" hidden="0" customWidth="1"/>
  </x:cols>
  <x:sheetData>
    <x:row r="1">
      <x:c r="A1" s="25" t="str">
        <x:v>Canonical Contract Data Dictionary</x:v>
      </x:c>
      <x:c r="B1" s="25"/>
      <x:c r="C1" s="25"/>
      <x:c r="D1" s="25"/>
      <x:c r="E1" s="25"/>
      <x:c r="F1" s="25"/>
    </x:row>
    <x:row r="3">
      <x:c r="A3" s="71" t="str">
        <x:v>Dataset</x:v>
      </x:c>
      <x:c r="B3" s="71" t="str">
        <x:v>Business Purpose</x:v>
      </x:c>
      <x:c r="C3" s="71" t="str">
        <x:v>Primary Key</x:v>
      </x:c>
      <x:c r="D3" s="71" t="str">
        <x:v>Important Relationship</x:v>
      </x:c>
      <x:c r="E3" s="71" t="str">
        <x:v>Oracle Readiness</x:v>
      </x:c>
      <x:c r="F3" s="71" t="str">
        <x:v>Notes</x:v>
      </x:c>
    </x:row>
    <x:row r="4">
      <x:c r="A4" s="11" t="str">
        <x:v>Contract Summary</x:v>
      </x:c>
      <x:c r="B4" s="11" t="str">
        <x:v>One canonical record for contract-level facts</x:v>
      </x:c>
      <x:c r="C4" s="11" t="str">
        <x:v>Contract Record ID</x:v>
      </x:c>
      <x:c r="D4" s="11" t="str">
        <x:v>Parent of all contract datasets</x:v>
      </x:c>
      <x:c r="E4" s="11" t="str">
        <x:v>High</x:v>
      </x:c>
      <x:c r="F4" s="11" t="str">
        <x:v>Do not overwrite source evidence with Oracle values.</x:v>
      </x:c>
    </x:row>
    <x:row r="5">
      <x:c r="A5" s="11" t="str">
        <x:v>Organizations</x:v>
      </x:c>
      <x:c r="B5" s="11" t="str">
        <x:v>Organizations participating in contract roles</x:v>
      </x:c>
      <x:c r="C5" s="11" t="str">
        <x:v>Organization ID</x:v>
      </x:c>
      <x:c r="D5" s="11" t="str">
        <x:v>Linked to contract through Role</x:v>
      </x:c>
      <x:c r="E5" s="11" t="str">
        <x:v>High</x:v>
      </x:c>
      <x:c r="F5" s="11" t="str">
        <x:v>Same organization may perform multiple roles.</x:v>
      </x:c>
    </x:row>
    <x:row r="6">
      <x:c r="A6" s="11" t="str">
        <x:v>Addresses</x:v>
      </x:c>
      <x:c r="B6" s="11" t="str">
        <x:v>Structured addresses</x:v>
      </x:c>
      <x:c r="C6" s="11" t="str">
        <x:v>Address ID</x:v>
      </x:c>
      <x:c r="D6" s="11" t="str">
        <x:v>Linked to Organization ID</x:v>
      </x:c>
      <x:c r="E6" s="11" t="str">
        <x:v>High</x:v>
      </x:c>
      <x:c r="F6" s="11" t="str">
        <x:v>Conflicting addresses remain separate records.</x:v>
      </x:c>
    </x:row>
    <x:row r="7">
      <x:c r="A7" s="11" t="str">
        <x:v>Contacts</x:v>
      </x:c>
      <x:c r="B7" s="11" t="str">
        <x:v>Named people and contact channels</x:v>
      </x:c>
      <x:c r="C7" s="11" t="str">
        <x:v>Contact ID</x:v>
      </x:c>
      <x:c r="D7" s="11" t="str">
        <x:v>Linked to Organization ID</x:v>
      </x:c>
      <x:c r="E7" s="11" t="str">
        <x:v>High</x:v>
      </x:c>
      <x:c r="F7" s="11" t="str">
        <x:v>Source spelling retained in evidence.</x:v>
      </x:c>
    </x:row>
    <x:row r="8">
      <x:c r="A8" s="11" t="str">
        <x:v>CLINs</x:v>
      </x:c>
      <x:c r="B8" s="11" t="str">
        <x:v>Contract line items / periods</x:v>
      </x:c>
      <x:c r="C8" s="11" t="str">
        <x:v>CLIN Record ID</x:v>
      </x:c>
      <x:c r="D8" s="11" t="str">
        <x:v>Linked to Contract Record ID</x:v>
      </x:c>
      <x:c r="E8" s="11" t="str">
        <x:v>High</x:v>
      </x:c>
      <x:c r="F8" s="11" t="str">
        <x:v>Repeating dataset; never flatten into contract header.</x:v>
      </x:c>
    </x:row>
    <x:row r="9">
      <x:c r="A9" s="11" t="str">
        <x:v>Funding Accounting</x:v>
      </x:c>
      <x:c r="B9" s="11" t="str">
        <x:v>Funding and appropriation facts</x:v>
      </x:c>
      <x:c r="C9" s="11" t="str">
        <x:v>Funding Record ID</x:v>
      </x:c>
      <x:c r="D9" s="11" t="str">
        <x:v>Linked to Contract Record ID</x:v>
      </x:c>
      <x:c r="E9" s="11" t="str">
        <x:v>Medium</x:v>
      </x:c>
      <x:c r="F9" s="11" t="str">
        <x:v>SOURCE_BLANK means field exists but source is blank.</x:v>
      </x:c>
    </x:row>
    <x:row r="10">
      <x:c r="A10" s="11" t="str">
        <x:v>Performance Delivery</x:v>
      </x:c>
      <x:c r="B10" s="11" t="str">
        <x:v>POP, delivery, ship-to, bonds</x:v>
      </x:c>
      <x:c r="C10" s="11" t="str">
        <x:v>Performance Record ID</x:v>
      </x:c>
      <x:c r="D10" s="11" t="str">
        <x:v>Linked to CLIN where applicable</x:v>
      </x:c>
      <x:c r="E10" s="11" t="str">
        <x:v>High</x:v>
      </x:c>
      <x:c r="F10" s="11" t="str">
        <x:v>Contract-specific operational terms.</x:v>
      </x:c>
    </x:row>
    <x:row r="11">
      <x:c r="A11" s="11" t="str">
        <x:v>Clauses</x:v>
      </x:c>
      <x:c r="B11" s="11" t="str">
        <x:v>Incorporated FAR/DFARS clauses</x:v>
      </x:c>
      <x:c r="C11" s="11" t="str">
        <x:v>Clause Record ID</x:v>
      </x:c>
      <x:c r="D11" s="11" t="str">
        <x:v>Linked to contract; later validate against FAR Master</x:v>
      </x:c>
      <x:c r="E11" s="11" t="str">
        <x:v>High</x:v>
      </x:c>
      <x:c r="F11" s="11" t="str">
        <x:v>Incorporation type comes from contract structure.</x:v>
      </x:c>
    </x:row>
    <x:row r="12">
      <x:c r="A12" s="11" t="str">
        <x:v>FAR References</x:v>
      </x:c>
      <x:c r="B12" s="11" t="str">
        <x:v>FAR citations that are not necessarily incorporated clauses</x:v>
      </x:c>
      <x:c r="C12" s="11" t="str">
        <x:v>Reference ID</x:v>
      </x:c>
      <x:c r="D12" s="11" t="str">
        <x:v>Linked to contract</x:v>
      </x:c>
      <x:c r="E12" s="11" t="str">
        <x:v>High</x:v>
      </x:c>
      <x:c r="F12" s="11" t="str">
        <x:v>Kept separate from Clauses.</x:v>
      </x:c>
    </x:row>
    <x:row r="13">
      <x:c r="A13" s="11" t="str">
        <x:v>Documents</x:v>
      </x:c>
      <x:c r="B13" s="11" t="str">
        <x:v>Portfolio/source-document inventory</x:v>
      </x:c>
      <x:c r="C13" s="11" t="str">
        <x:v>Document ID</x:v>
      </x:c>
      <x:c r="D13" s="11" t="str">
        <x:v>Linked to Contract Record ID</x:v>
      </x:c>
      <x:c r="E13" s="11" t="str">
        <x:v>High</x:v>
      </x:c>
      <x:c r="F13" s="11" t="str">
        <x:v>Includes SHA-256 provenance.</x:v>
      </x:c>
    </x:row>
    <x:row r="14">
      <x:c r="A14" s="11" t="str">
        <x:v>Evidence</x:v>
      </x:c>
      <x:c r="B14" s="11" t="str">
        <x:v>Audit trail from raw source to canonical value</x:v>
      </x:c>
      <x:c r="C14" s="11" t="str">
        <x:v>Evidence ID</x:v>
      </x:c>
      <x:c r="D14" s="11" t="str">
        <x:v>Referenced by normalized records</x:v>
      </x:c>
      <x:c r="E14" s="11" t="str">
        <x:v>Critical</x:v>
      </x:c>
      <x:c r="F14" s="11" t="str">
        <x:v>Core traceability layer.</x:v>
      </x:c>
    </x:row>
    <x:row r="15">
      <x:c r="A15" s="11" t="str">
        <x:v>Conflicts Review</x:v>
      </x:c>
      <x:c r="B15" s="11" t="str">
        <x:v>Unresolved or intentionally preserved source differences</x:v>
      </x:c>
      <x:c r="C15" s="11" t="str">
        <x:v>Issue ID</x:v>
      </x:c>
      <x:c r="D15" s="11" t="str">
        <x:v>References affected field/entity</x:v>
      </x:c>
      <x:c r="E15" s="11" t="str">
        <x:v>Critical</x:v>
      </x:c>
      <x:c r="F15" s="11" t="str">
        <x:v>Never silently reconcile conflicting source values.</x:v>
      </x:c>
    </x:row>
  </x:sheetData>
  <x:mergeCells>
    <x:mergeCell ref="A1:F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52" hidden="0" customWidth="1"/>
    <x:col min="4" max="4" width="38" hidden="0" customWidth="1"/>
  </x:cols>
  <x:sheetData>
    <x:row r="1">
      <x:c r="A1" s="25" t="str">
        <x:v>Extraction &amp; Review Status Dictionary</x:v>
      </x:c>
      <x:c r="B1" s="25"/>
      <x:c r="C1" s="25"/>
      <x:c r="D1" s="25"/>
    </x:row>
    <x:row r="3">
      <x:c r="A3" s="71" t="str">
        <x:v>Status</x:v>
      </x:c>
      <x:c r="B3" s="71" t="str">
        <x:v>Meaning</x:v>
      </x:c>
      <x:c r="C3" s="71" t="str">
        <x:v>Use When</x:v>
      </x:c>
      <x:c r="D3" s="71" t="str">
        <x:v>Downstream Action</x:v>
      </x:c>
    </x:row>
    <x:row r="4">
      <x:c r="A4" s="11" t="str">
        <x:v>EXTRACTED</x:v>
      </x:c>
      <x:c r="B4" s="11" t="str">
        <x:v>Value directly supported by source</x:v>
      </x:c>
      <x:c r="C4" s="11" t="str">
        <x:v>Source clearly contains the value</x:v>
      </x:c>
      <x:c r="D4" s="11" t="str">
        <x:v>Eligible for transformation</x:v>
      </x:c>
    </x:row>
    <x:row r="5">
      <x:c r="A5" s="11" t="str">
        <x:v>SOURCE_BLANK</x:v>
      </x:c>
      <x:c r="B5" s="11" t="str">
        <x:v>Field exists but is blank in source</x:v>
      </x:c>
      <x:c r="C5" s="11" t="str">
        <x:v>Visible source field has no populated value</x:v>
      </x:c>
      <x:c r="D5" s="11" t="str">
        <x:v>Do not infer; preserve blank</x:v>
      </x:c>
    </x:row>
    <x:row r="6">
      <x:c r="A6" s="11" t="str">
        <x:v>RESOLVED_REFERENCE</x:v>
      </x:c>
      <x:c r="B6" s="11" t="str">
        <x:v>Source points to another field/item</x:v>
      </x:c>
      <x:c r="C6" s="11" t="str">
        <x:v>Example: 'See Item 7'</x:v>
      </x:c>
      <x:c r="D6" s="11" t="str">
        <x:v>Keep raw pointer + resolved relationship</x:v>
      </x:c>
    </x:row>
    <x:row r="7">
      <x:c r="A7" s="11" t="str">
        <x:v>CONFLICT_PRESERVED</x:v>
      </x:c>
      <x:c r="B7" s="11" t="str">
        <x:v>Sources contain different values</x:v>
      </x:c>
      <x:c r="C7" s="11" t="str">
        <x:v>Example: contractor Suite 1200 vs Suite 800</x:v>
      </x:c>
      <x:c r="D7" s="11" t="str">
        <x:v>Human/business-rule review</x:v>
      </x:c>
    </x:row>
    <x:row r="8">
      <x:c r="A8" s="11" t="str">
        <x:v>REVIEW_REQUIRED</x:v>
      </x:c>
      <x:c r="B8" s="11" t="str">
        <x:v>Cannot safely normalize automatically</x:v>
      </x:c>
      <x:c r="C8" s="11" t="str">
        <x:v>Ambiguous or conflicting business meaning</x:v>
      </x:c>
      <x:c r="D8" s="11" t="str">
        <x:v>Hold from automatic import</x:v>
      </x:c>
    </x:row>
    <x:row r="9">
      <x:c r="A9" s="11" t="str">
        <x:v>REVIEWED</x:v>
      </x:c>
      <x:c r="B9" s="11" t="str">
        <x:v>A reviewer/business rule has evaluated the item</x:v>
      </x:c>
      <x:c r="C9" s="11" t="str">
        <x:v>Issue has been assessed</x:v>
      </x:c>
      <x:c r="D9" s="11" t="str">
        <x:v>May proceed per approved rule</x:v>
      </x:c>
    </x:row>
    <x:row r="10">
      <x:c r="A10" s="11" t="str">
        <x:v>RESOLVED</x:v>
      </x:c>
      <x:c r="B10" s="11" t="str">
        <x:v>Issue has an explicit accepted treatment</x:v>
      </x:c>
      <x:c r="C10" s="11" t="str">
        <x:v>Treatment documented</x:v>
      </x:c>
      <x:c r="D10" s="11" t="str">
        <x:v>Eligible for downstream use</x:v>
      </x:c>
    </x:row>
  </x:sheetData>
  <x:mergeCells>
    <x:mergeCell ref="A1:D1"/>
  </x:mergeCells>
  <x:pageMargins left="0.7" right="0.7" top="0.75" bottom="0.75" header="0.3" footer="0.3"/>
</x:worksheet>
</file>